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200" activeTab="1"/>
  </bookViews>
  <sheets>
    <sheet name="Profit &amp; Loss" sheetId="1" r:id="rId1"/>
    <sheet name="DCF" sheetId="2" r:id="rId2"/>
    <sheet name="Quarters" sheetId="3" r:id="rId3"/>
    <sheet name="Balance Sheet" sheetId="4" r:id="rId4"/>
    <sheet name="Cash Flow" sheetId="5" r:id="rId5"/>
    <sheet name="Customization" sheetId="6" r:id="rId6"/>
    <sheet name="Data Sheet" sheetId="7" r:id="rId7"/>
  </sheets>
  <definedNames>
    <definedName name="UPDATE">'Data Sheet'!$E$1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<sst xmlns="http://schemas.openxmlformats.org/spreadsheetml/2006/main" count="191" uniqueCount="136">
  <si>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</si>
  <si>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</si>
  <si>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</si>
  <si>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</si>
  <si>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</si>
  <si>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</si>
  <si>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</si>
  <si>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</si>
  <si>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</si>
  <si>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</si>
  <si>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</si>
  <si>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</si>
  <si>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</si>
  <si>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</si>
  <si>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</si>
  <si>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</si>
  <si>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</si>
  <si>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</si>
  <si>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</si>
  <si>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</si>
  <si>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TRENDS:</t>
  </si>
  <si>
    <t>10 YEARS</t>
  </si>
  <si>
    <t>7 YEARS</t>
  </si>
  <si>
    <t>5 YEARS</t>
  </si>
  <si>
    <t>3 YEARS</t>
  </si>
  <si>
    <t>RECENT</t>
  </si>
  <si>
    <t>BEST</t>
  </si>
  <si>
    <t>WORST</t>
  </si>
  <si>
    <t>Sales Growth</t>
  </si>
  <si>
    <t>Price to Earning</t>
  </si>
  <si>
    <t>DCF VALUATION - HUL</t>
  </si>
  <si>
    <t>Revenue</t>
  </si>
  <si>
    <t>LATEST</t>
  </si>
  <si>
    <t>AVERAGE</t>
  </si>
  <si>
    <t>CAGR</t>
  </si>
  <si>
    <t>EBIT - Operating Profit</t>
  </si>
  <si>
    <t>BOTTOM UP</t>
  </si>
  <si>
    <t>REGRESSION ANALYSIS</t>
  </si>
  <si>
    <t>TAX %</t>
  </si>
  <si>
    <t>EBIT*(1-t)</t>
  </si>
  <si>
    <t>Capex</t>
  </si>
  <si>
    <t>% OF REVENUE</t>
  </si>
  <si>
    <t>Working capital</t>
  </si>
  <si>
    <t>FREE CASH FLOW TO THE FIRM</t>
  </si>
  <si>
    <t>terminal value</t>
  </si>
  <si>
    <t>calculation of terminal value</t>
  </si>
  <si>
    <t>annual cash flow</t>
  </si>
  <si>
    <t>Annual CF</t>
  </si>
  <si>
    <t>WACC</t>
  </si>
  <si>
    <t>WAIGHT AGE</t>
  </si>
  <si>
    <t>Growth rate</t>
  </si>
  <si>
    <t>Cost of debt</t>
  </si>
  <si>
    <t>Cost of equity</t>
  </si>
  <si>
    <t>CPAM</t>
  </si>
  <si>
    <t>Rf+beta*(Rm-Rf)</t>
  </si>
  <si>
    <t>RF</t>
  </si>
  <si>
    <t>Discount rate - Growth rate</t>
  </si>
  <si>
    <t>BETA</t>
  </si>
  <si>
    <t>Terminal value</t>
  </si>
  <si>
    <t>MARKET RETURN</t>
  </si>
  <si>
    <t>calcuation of intrinsic value</t>
  </si>
  <si>
    <t>Enterprise value</t>
  </si>
  <si>
    <t>Net debt</t>
  </si>
  <si>
    <t>Equity value</t>
  </si>
  <si>
    <t>no of shares</t>
  </si>
  <si>
    <t>intrinsic value</t>
  </si>
  <si>
    <t>current price</t>
  </si>
  <si>
    <t>decision</t>
  </si>
  <si>
    <t>Sell</t>
  </si>
  <si>
    <t>Minor Professional Improvements Added</t>
  </si>
  <si>
    <t>Revenue growth stabilized gradually for mature FMCG assumptions.</t>
  </si>
  <si>
    <t>Tax rate normalized to 24% for realistic forecasting.</t>
  </si>
  <si>
    <t>DCF structure retained while improving forecast consistency.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</si>
  <si>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</si>
  <si>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</si>
  <si>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</si>
  <si>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</si>
  <si>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</si>
  <si>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</si>
  <si>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</si>
  <si>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</si>
  <si>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</si>
  <si>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Working Capital</t>
  </si>
  <si>
    <t>Debtors</t>
  </si>
  <si>
    <t>Inventory</t>
  </si>
  <si>
    <t>Debtor Days</t>
  </si>
  <si>
    <t>Inventory Turnover</t>
  </si>
  <si>
    <t>Return on Equity</t>
  </si>
  <si>
    <t>Return on Capital Emp</t>
  </si>
  <si>
    <t>Cash from Operating Activity</t>
  </si>
  <si>
    <t>Cash from Investing Activity</t>
  </si>
  <si>
    <t>Cash from Financing Activity</t>
  </si>
  <si>
    <t>Net Cash Flow</t>
  </si>
  <si>
    <t>How to use it?</t>
  </si>
  <si>
    <t>You can customize this workbook as you want.</t>
  </si>
  <si>
    <t>You can add custom formating, add conditional formating, add your own formulas… do ANYTHING.</t>
  </si>
  <si>
    <t>Please don't edit the "Data Sheet" only.</t>
  </si>
  <si>
    <t>After customization, you can upload this back on Screener.</t>
  </si>
  <si>
    <t>Upload on:</t>
  </si>
  <si>
    <t xml:space="preserve"> https://www.screener.in/excel/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</si>
  <si>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</si>
  <si>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</si>
  <si>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</si>
  <si>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</si>
  <si>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 support@screener.in</t>
  </si>
  <si>
    <t>COMPANY NAME</t>
  </si>
  <si>
    <t>HINDUSTAN UNILEVER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</si>
  <si>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</si>
  <si>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</si>
  <si>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</si>
  <si>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</si>
  <si>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</si>
  <si>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</si>
  <si>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</si>
  <si>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</si>
  <si>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</si>
  <si>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</si>
  <si>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</si>
  <si>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</si>
  <si>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</si>
  <si>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</si>
  <si>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</si>
  <si>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</si>
  <si>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</si>
  <si>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Dividend Amount</t>
  </si>
  <si>
    <t>Quarters</t>
  </si>
  <si>
    <t>BALANCE SHEET</t>
  </si>
  <si>
    <t>Receivables</t>
  </si>
  <si>
    <t>Cash &amp; Bank</t>
  </si>
  <si>
    <t>No. of Equity Shares</t>
  </si>
  <si>
    <t>New Bonus Shares</t>
  </si>
  <si>
    <t>Face value</t>
  </si>
  <si>
    <t>CASH FLOW:</t>
  </si>
  <si>
    <t>PRICE:</t>
  </si>
  <si>
    <t>DERIVED:</t>
  </si>
  <si>
    <t>Adjusted Equity Shares in Cr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</si>
</sst>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mmm/yy;@"/>
    <numFmt numFmtId="181" formatCode="dd/mmm/yy"/>
    <numFmt numFmtId="182" formatCode="_ * #,##0_ ;_ * \-#,##0_ ;_ * &quot;-&quot;??_ ;_ @_ "/>
    <numFmt numFmtId="183" formatCode="0.0%"/>
    <numFmt numFmtId="184" formatCode="&quot;₹&quot;\ #,##0.00;[Red]&quot;₹&quot;\ \-#,##0.00"/>
  </numFmts>
  <fonts count="3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b/>
      <sz val="11"/>
      <color theme="0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u/>
      <sz val="11"/>
      <color theme="10"/>
      <name val="Calibri"/>
      <charset val="134"/>
    </font>
    <font>
      <b/>
      <sz val="18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0275D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/>
    <xf numFmtId="177" fontId="11" fillId="0" borderId="0" applyFont="0" applyFill="0" applyBorder="0" applyAlignment="0" applyProtection="0">
      <alignment vertical="center"/>
    </xf>
    <xf numFmtId="9" fontId="0" fillId="0" borderId="0"/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3" fillId="0" borderId="0">
      <alignment vertical="top"/>
      <protection locked="0"/>
    </xf>
    <xf numFmtId="0" fontId="12" fillId="0" borderId="0" applyNumberFormat="0" applyFill="0" applyBorder="0" applyAlignment="0" applyProtection="0">
      <alignment vertical="center"/>
    </xf>
    <xf numFmtId="0" fontId="11" fillId="8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0" borderId="5" applyNumberFormat="0" applyAlignment="0" applyProtection="0">
      <alignment vertical="center"/>
    </xf>
    <xf numFmtId="0" fontId="22" fillId="11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6" borderId="0"/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7" borderId="0"/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2" borderId="0"/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44">
    <xf numFmtId="0" fontId="0" fillId="0" borderId="0" xfId="0"/>
    <xf numFmtId="176" fontId="1" fillId="0" borderId="0" xfId="1" applyFont="1"/>
    <xf numFmtId="180" fontId="2" fillId="0" borderId="0" xfId="1" applyNumberFormat="1" applyFont="1"/>
    <xf numFmtId="176" fontId="0" fillId="0" borderId="0" xfId="1"/>
    <xf numFmtId="176" fontId="3" fillId="0" borderId="0" xfId="6" applyNumberFormat="1" applyAlignment="1" applyProtection="1">
      <alignment horizontal="center"/>
    </xf>
    <xf numFmtId="176" fontId="4" fillId="2" borderId="0" xfId="45" applyNumberFormat="1" applyFont="1" applyAlignment="1">
      <alignment horizontal="center"/>
    </xf>
    <xf numFmtId="180" fontId="4" fillId="3" borderId="0" xfId="1" applyNumberFormat="1" applyFont="1" applyFill="1"/>
    <xf numFmtId="180" fontId="4" fillId="3" borderId="0" xfId="0" applyNumberFormat="1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5" fillId="0" borderId="0" xfId="0" applyFont="1"/>
    <xf numFmtId="0" fontId="6" fillId="0" borderId="0" xfId="6" applyFont="1" applyAlignment="1" applyProtection="1">
      <alignment horizontal="left"/>
    </xf>
    <xf numFmtId="0" fontId="6" fillId="0" borderId="0" xfId="6" applyFont="1" applyAlignment="1" applyProtection="1"/>
    <xf numFmtId="0" fontId="4" fillId="3" borderId="0" xfId="0" applyFont="1" applyFill="1"/>
    <xf numFmtId="176" fontId="0" fillId="0" borderId="0" xfId="1" applyAlignment="1">
      <alignment horizontal="center"/>
    </xf>
    <xf numFmtId="176" fontId="1" fillId="0" borderId="0" xfId="1" applyFont="1" applyAlignment="1">
      <alignment horizontal="center"/>
    </xf>
    <xf numFmtId="9" fontId="1" fillId="0" borderId="0" xfId="3" applyFont="1"/>
    <xf numFmtId="0" fontId="2" fillId="0" borderId="0" xfId="0" applyFont="1"/>
    <xf numFmtId="0" fontId="7" fillId="0" borderId="0" xfId="0" applyFont="1" applyAlignment="1">
      <alignment vertical="center"/>
    </xf>
    <xf numFmtId="181" fontId="4" fillId="4" borderId="0" xfId="0" applyNumberFormat="1" applyFont="1" applyFill="1"/>
    <xf numFmtId="181" fontId="4" fillId="5" borderId="0" xfId="0" applyNumberFormat="1" applyFont="1" applyFill="1"/>
    <xf numFmtId="176" fontId="1" fillId="0" borderId="0" xfId="0" applyNumberFormat="1" applyFont="1"/>
    <xf numFmtId="9" fontId="0" fillId="0" borderId="0" xfId="3"/>
    <xf numFmtId="9" fontId="0" fillId="0" borderId="0" xfId="0" applyNumberFormat="1"/>
    <xf numFmtId="2" fontId="0" fillId="0" borderId="0" xfId="0" applyNumberFormat="1"/>
    <xf numFmtId="9" fontId="0" fillId="0" borderId="0" xfId="1" applyNumberFormat="1"/>
    <xf numFmtId="2" fontId="1" fillId="0" borderId="0" xfId="0" applyNumberFormat="1" applyFont="1"/>
    <xf numFmtId="182" fontId="0" fillId="0" borderId="0" xfId="0" applyNumberFormat="1"/>
    <xf numFmtId="1" fontId="0" fillId="0" borderId="0" xfId="0" applyNumberFormat="1"/>
    <xf numFmtId="0" fontId="8" fillId="0" borderId="0" xfId="0" applyFont="1"/>
    <xf numFmtId="183" fontId="8" fillId="0" borderId="0" xfId="0" applyNumberFormat="1" applyFont="1"/>
    <xf numFmtId="183" fontId="0" fillId="0" borderId="0" xfId="0" applyNumberFormat="1"/>
    <xf numFmtId="176" fontId="0" fillId="0" borderId="0" xfId="0" applyNumberFormat="1"/>
    <xf numFmtId="0" fontId="1" fillId="0" borderId="1" xfId="0" applyFont="1" applyBorder="1"/>
    <xf numFmtId="2" fontId="1" fillId="0" borderId="1" xfId="0" applyNumberFormat="1" applyFont="1" applyBorder="1"/>
    <xf numFmtId="184" fontId="0" fillId="0" borderId="0" xfId="0" applyNumberFormat="1"/>
    <xf numFmtId="184" fontId="0" fillId="0" borderId="1" xfId="0" applyNumberFormat="1" applyBorder="1"/>
    <xf numFmtId="0" fontId="9" fillId="0" borderId="0" xfId="0" applyFont="1"/>
    <xf numFmtId="0" fontId="10" fillId="0" borderId="0" xfId="0" applyFont="1"/>
    <xf numFmtId="0" fontId="4" fillId="3" borderId="0" xfId="0" applyFont="1" applyFill="1" applyAlignment="1">
      <alignment horizontal="center"/>
    </xf>
    <xf numFmtId="176" fontId="4" fillId="6" borderId="0" xfId="28" applyNumberFormat="1" applyFont="1"/>
    <xf numFmtId="176" fontId="4" fillId="7" borderId="0" xfId="36" applyNumberFormat="1" applyFont="1"/>
    <xf numFmtId="10" fontId="0" fillId="0" borderId="0" xfId="0" applyNumberFormat="1"/>
    <xf numFmtId="10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ont>
        <name val="Calibri"/>
        <scheme val="none"/>
        <strike val="0"/>
        <sz val="11"/>
        <color theme="1"/>
      </font>
    </dxf>
    <dxf>
      <font>
        <name val="Calibri"/>
        <scheme val="none"/>
        <strike val="0"/>
        <sz val="11"/>
        <color theme="1"/>
      </font>
    </dxf>
    <dxf>
      <font>
        <name val="Calibri"/>
        <scheme val="none"/>
        <strike val="0"/>
        <sz val="11"/>
        <color theme="1"/>
      </font>
    </dxf>
    <dxf>
      <font>
        <b val="1"/>
        <color theme="0"/>
      </font>
      <fill>
        <patternFill patternType="solid">
          <bgColor theme="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nnual" displayName="Annual" ref="A3:N19" headerRowCount="0" totalsRowShown="0">
  <tableColumns count="14">
    <tableColumn id="1" name="Column1" dataDxfId="0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 dataDxfId="1"/>
    <tableColumn id="14" name="Column14" dataDxfId="2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tile tx="0" ty="0" sx="32000" sy="32000" flip="none" algn="tl"/>
        </a:blip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creener.in/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creener.in/" TargetMode="Externa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N25"/>
  <sheetViews>
    <sheetView zoomScale="120" zoomScaleNormal="120" zoomScalePageLayoutView="120" workbookViewId="0">
      <pane xSplit="1" ySplit="4" topLeftCell="F5" activePane="bottomRight" state="frozen"/>
      <selection/>
      <selection pane="topRight"/>
      <selection pane="bottomLeft"/>
      <selection pane="bottomRight" activeCell="K9" sqref="K9"/>
    </sheetView>
  </sheetViews>
  <sheetFormatPr defaultColWidth="8.81818181818182" defaultRowHeight="14.5"/>
  <cols>
    <col min="1" max="1" width="20.6363636363636" customWidth="1"/>
    <col min="2" max="6" width="13.4545454545455" customWidth="1"/>
    <col min="7" max="7" width="14.8181818181818" customWidth="1"/>
    <col min="8" max="11" width="13.4545454545455" customWidth="1"/>
    <col min="12" max="12" width="13.3636363636364" customWidth="1"/>
    <col min="13" max="14" width="12.1818181818182" customWidth="1"/>
    <col min="15" max="16384" width="8.81818181818182" customWidth="1"/>
  </cols>
  <sheetData>
    <row r="1" s="8" customFormat="1" spans="1:14">
      <c r="A1" s="8" t="str">
        <f>'Data Sheet'!B1</f>
        <v>HINDUSTAN UNILEVER LTD</v>
      </c>
      <c r="H1" t="str">
        <f>UPDATE</f>
        <v/>
      </c>
      <c r="J1" s="38"/>
      <c r="K1" s="38"/>
      <c r="M1" s="8" t="s">
        <v>0</v>
      </c>
    </row>
    <row r="3" s="8" customFormat="1" spans="1:14">
      <c r="A3" s="13" t="s">
        <v>1</v>
      </c>
      <c r="B3" s="7">
        <f>'Data Sheet'!B16</f>
        <v>42825</v>
      </c>
      <c r="C3" s="7">
        <f>'Data Sheet'!C16</f>
        <v>43190</v>
      </c>
      <c r="D3" s="7">
        <f>'Data Sheet'!D16</f>
        <v>43555</v>
      </c>
      <c r="E3" s="7">
        <f>'Data Sheet'!E16</f>
        <v>43921</v>
      </c>
      <c r="F3" s="7">
        <f>'Data Sheet'!F16</f>
        <v>44286</v>
      </c>
      <c r="G3" s="7">
        <f>'Data Sheet'!G16</f>
        <v>44651</v>
      </c>
      <c r="H3" s="7">
        <f>'Data Sheet'!H16</f>
        <v>45016</v>
      </c>
      <c r="I3" s="7">
        <f>'Data Sheet'!I16</f>
        <v>45382</v>
      </c>
      <c r="J3" s="7">
        <f>'Data Sheet'!J16</f>
        <v>45747</v>
      </c>
      <c r="K3" s="7">
        <f>'Data Sheet'!K16</f>
        <v>46112</v>
      </c>
      <c r="L3" s="39" t="s">
        <v>2</v>
      </c>
      <c r="M3" s="39" t="s">
        <v>3</v>
      </c>
      <c r="N3" s="39" t="s">
        <v>4</v>
      </c>
    </row>
    <row r="4" s="8" customFormat="1" spans="1:14">
      <c r="A4" s="8" t="s">
        <v>5</v>
      </c>
      <c r="B4" s="1">
        <f>'Data Sheet'!B17</f>
        <v>33162</v>
      </c>
      <c r="C4" s="1">
        <f>'Data Sheet'!C17</f>
        <v>35545</v>
      </c>
      <c r="D4" s="1">
        <f>'Data Sheet'!D17</f>
        <v>39310</v>
      </c>
      <c r="E4" s="1">
        <f>'Data Sheet'!E17</f>
        <v>39783</v>
      </c>
      <c r="F4" s="1">
        <f>'Data Sheet'!F17</f>
        <v>47028</v>
      </c>
      <c r="G4" s="1">
        <f>'Data Sheet'!G17</f>
        <v>52446</v>
      </c>
      <c r="H4" s="1">
        <f>'Data Sheet'!H17</f>
        <v>60580</v>
      </c>
      <c r="I4" s="1">
        <f>'Data Sheet'!I17</f>
        <v>61896</v>
      </c>
      <c r="J4" s="1">
        <f>'Data Sheet'!J17</f>
        <v>63121</v>
      </c>
      <c r="K4" s="1">
        <f>'Data Sheet'!K17</f>
        <v>64468</v>
      </c>
      <c r="L4" s="1">
        <f>SUM(Quarters!H4:K4)</f>
        <v>65225</v>
      </c>
      <c r="M4" s="1">
        <f>$K4+M23*K4</f>
        <v>65843.7449343325</v>
      </c>
      <c r="N4" s="1">
        <f>$K4+N23*L4</f>
        <v>65834.5408163603</v>
      </c>
    </row>
    <row r="5" spans="1:14">
      <c r="A5" t="s">
        <v>6</v>
      </c>
      <c r="B5" s="3">
        <f>SUM('Data Sheet'!B18,'Data Sheet'!B20:B24,-1*'Data Sheet'!B19)</f>
        <v>26834</v>
      </c>
      <c r="C5" s="3">
        <f>SUM('Data Sheet'!C18,'Data Sheet'!C20:C24,-1*'Data Sheet'!C19)</f>
        <v>28046</v>
      </c>
      <c r="D5" s="3">
        <f>SUM('Data Sheet'!D18,'Data Sheet'!D20:D24,-1*'Data Sheet'!D19)</f>
        <v>30430</v>
      </c>
      <c r="E5" s="3">
        <f>SUM('Data Sheet'!E18,'Data Sheet'!E20:E24,-1*'Data Sheet'!E19)</f>
        <v>29922</v>
      </c>
      <c r="F5" s="3">
        <f>SUM('Data Sheet'!F18,'Data Sheet'!F20:F24,-1*'Data Sheet'!F19)</f>
        <v>35402</v>
      </c>
      <c r="G5" s="3">
        <f>SUM('Data Sheet'!G18,'Data Sheet'!G20:G24,-1*'Data Sheet'!G19)</f>
        <v>39589</v>
      </c>
      <c r="H5" s="3">
        <f>SUM('Data Sheet'!H18,'Data Sheet'!H20:H24,-1*'Data Sheet'!H19)</f>
        <v>46433</v>
      </c>
      <c r="I5" s="3">
        <f>SUM('Data Sheet'!I18,'Data Sheet'!I20:I24,-1*'Data Sheet'!I19)</f>
        <v>47237</v>
      </c>
      <c r="J5" s="3">
        <f>SUM('Data Sheet'!J18,'Data Sheet'!J20:J24,-1*'Data Sheet'!J19)</f>
        <v>48278</v>
      </c>
      <c r="K5" s="3">
        <f>SUM('Data Sheet'!K18,'Data Sheet'!K20:K24,-1*'Data Sheet'!K19)</f>
        <v>49429</v>
      </c>
      <c r="L5" s="3">
        <f>SUM(Quarters!H5:K5)</f>
        <v>50108</v>
      </c>
      <c r="M5" s="3">
        <f>M4-M6</f>
        <v>50366.286332754</v>
      </c>
      <c r="N5" s="3">
        <f>N4-N6</f>
        <v>50576.2693940388</v>
      </c>
    </row>
    <row r="6" s="8" customFormat="1" spans="1:14">
      <c r="A6" s="8" t="s">
        <v>7</v>
      </c>
      <c r="B6" s="1">
        <f t="shared" ref="B6:K6" si="0">B4-B5</f>
        <v>6328</v>
      </c>
      <c r="C6" s="1">
        <f t="shared" si="0"/>
        <v>7499</v>
      </c>
      <c r="D6" s="1">
        <f t="shared" si="0"/>
        <v>8880</v>
      </c>
      <c r="E6" s="1">
        <f t="shared" si="0"/>
        <v>9861</v>
      </c>
      <c r="F6" s="1">
        <f t="shared" si="0"/>
        <v>11626</v>
      </c>
      <c r="G6" s="1">
        <f t="shared" si="0"/>
        <v>12857</v>
      </c>
      <c r="H6" s="1">
        <f t="shared" si="0"/>
        <v>14147</v>
      </c>
      <c r="I6" s="1">
        <f t="shared" si="0"/>
        <v>14659</v>
      </c>
      <c r="J6" s="1">
        <f t="shared" si="0"/>
        <v>14843</v>
      </c>
      <c r="K6" s="1">
        <f t="shared" si="0"/>
        <v>15039</v>
      </c>
      <c r="L6" s="1">
        <f>SUM(Quarters!H6:K6)</f>
        <v>15117</v>
      </c>
      <c r="M6" s="1">
        <f>M4*M24</f>
        <v>15477.4586015785</v>
      </c>
      <c r="N6" s="1">
        <f>N4*N24</f>
        <v>15258.2714223215</v>
      </c>
    </row>
    <row r="7" spans="1:14">
      <c r="A7" t="s">
        <v>8</v>
      </c>
      <c r="B7" s="3">
        <f>'Data Sheet'!B25</f>
        <v>606</v>
      </c>
      <c r="C7" s="3">
        <f>'Data Sheet'!C25</f>
        <v>353</v>
      </c>
      <c r="D7" s="3">
        <f>'Data Sheet'!D25</f>
        <v>322</v>
      </c>
      <c r="E7" s="3">
        <f>'Data Sheet'!E25</f>
        <v>424</v>
      </c>
      <c r="F7" s="3">
        <f>'Data Sheet'!F25</f>
        <v>170</v>
      </c>
      <c r="G7" s="3">
        <f>'Data Sheet'!G25</f>
        <v>219</v>
      </c>
      <c r="H7" s="3">
        <f>'Data Sheet'!H25</f>
        <v>448</v>
      </c>
      <c r="I7" s="3">
        <f>'Data Sheet'!I25</f>
        <v>817</v>
      </c>
      <c r="J7" s="3">
        <f>'Data Sheet'!J25</f>
        <v>1322</v>
      </c>
      <c r="K7" s="3">
        <f>'Data Sheet'!K25</f>
        <v>4923</v>
      </c>
      <c r="L7" s="3">
        <f>SUM(Quarters!H7:K7)</f>
        <v>4894</v>
      </c>
      <c r="M7" s="3">
        <v>0</v>
      </c>
      <c r="N7" s="3">
        <v>0</v>
      </c>
    </row>
    <row r="8" spans="1:14">
      <c r="A8" t="s">
        <v>9</v>
      </c>
      <c r="B8" s="3">
        <f>'Data Sheet'!B26</f>
        <v>432</v>
      </c>
      <c r="C8" s="3">
        <f>'Data Sheet'!C26</f>
        <v>520</v>
      </c>
      <c r="D8" s="3">
        <f>'Data Sheet'!D26</f>
        <v>565</v>
      </c>
      <c r="E8" s="3">
        <f>'Data Sheet'!E26</f>
        <v>1002</v>
      </c>
      <c r="F8" s="3">
        <f>'Data Sheet'!F26</f>
        <v>1074</v>
      </c>
      <c r="G8" s="3">
        <f>'Data Sheet'!G26</f>
        <v>1091</v>
      </c>
      <c r="H8" s="3">
        <f>'Data Sheet'!H26</f>
        <v>1137</v>
      </c>
      <c r="I8" s="3">
        <f>'Data Sheet'!I26</f>
        <v>1216</v>
      </c>
      <c r="J8" s="3">
        <f>'Data Sheet'!J26</f>
        <v>1355</v>
      </c>
      <c r="K8" s="3">
        <f>'Data Sheet'!K26</f>
        <v>1333</v>
      </c>
      <c r="L8" s="3">
        <f>SUM(Quarters!H8:K8)</f>
        <v>1368</v>
      </c>
      <c r="M8" s="3">
        <f>+$L8</f>
        <v>1368</v>
      </c>
      <c r="N8" s="3">
        <f>+$L8</f>
        <v>1368</v>
      </c>
    </row>
    <row r="9" spans="1:14">
      <c r="A9" t="s">
        <v>10</v>
      </c>
      <c r="B9" s="3">
        <f>'Data Sheet'!B27</f>
        <v>35</v>
      </c>
      <c r="C9" s="3">
        <f>'Data Sheet'!C27</f>
        <v>26</v>
      </c>
      <c r="D9" s="3">
        <f>'Data Sheet'!D27</f>
        <v>33</v>
      </c>
      <c r="E9" s="3">
        <f>'Data Sheet'!E27</f>
        <v>118</v>
      </c>
      <c r="F9" s="3">
        <f>'Data Sheet'!F27</f>
        <v>117</v>
      </c>
      <c r="G9" s="3">
        <f>'Data Sheet'!G27</f>
        <v>106</v>
      </c>
      <c r="H9" s="3">
        <f>'Data Sheet'!H27</f>
        <v>114</v>
      </c>
      <c r="I9" s="3">
        <f>'Data Sheet'!I27</f>
        <v>334</v>
      </c>
      <c r="J9" s="3">
        <f>'Data Sheet'!J27</f>
        <v>395</v>
      </c>
      <c r="K9" s="3">
        <f>'Data Sheet'!K27</f>
        <v>410</v>
      </c>
      <c r="L9" s="3">
        <f>SUM(Quarters!H9:K9)</f>
        <v>415</v>
      </c>
      <c r="M9" s="3">
        <f>+$L9</f>
        <v>415</v>
      </c>
      <c r="N9" s="3">
        <f>+$L9</f>
        <v>415</v>
      </c>
    </row>
    <row r="10" spans="1:14">
      <c r="A10" t="s">
        <v>11</v>
      </c>
      <c r="B10" s="3">
        <f>'Data Sheet'!B28</f>
        <v>6467</v>
      </c>
      <c r="C10" s="3">
        <f>'Data Sheet'!C28</f>
        <v>7306</v>
      </c>
      <c r="D10" s="3">
        <f>'Data Sheet'!D28</f>
        <v>8604</v>
      </c>
      <c r="E10" s="3">
        <f>'Data Sheet'!E28</f>
        <v>9165</v>
      </c>
      <c r="F10" s="3">
        <f>'Data Sheet'!F28</f>
        <v>10605</v>
      </c>
      <c r="G10" s="3">
        <f>'Data Sheet'!G28</f>
        <v>11879</v>
      </c>
      <c r="H10" s="3">
        <f>'Data Sheet'!H28</f>
        <v>13344</v>
      </c>
      <c r="I10" s="3">
        <f>'Data Sheet'!I28</f>
        <v>13926</v>
      </c>
      <c r="J10" s="3">
        <f>'Data Sheet'!J28</f>
        <v>14415</v>
      </c>
      <c r="K10" s="3">
        <f>'Data Sheet'!K28</f>
        <v>18219</v>
      </c>
      <c r="L10" s="3">
        <f>SUM(Quarters!H10:K10)</f>
        <v>18228</v>
      </c>
      <c r="M10" s="3">
        <f>M6+M7-SUM(M8:M9)</f>
        <v>13694.4586015785</v>
      </c>
      <c r="N10" s="3">
        <f>N6+N7-SUM(N8:N9)</f>
        <v>13475.2714223215</v>
      </c>
    </row>
    <row r="11" spans="1:14">
      <c r="A11" t="s">
        <v>12</v>
      </c>
      <c r="B11" s="3">
        <f>'Data Sheet'!B29</f>
        <v>1977</v>
      </c>
      <c r="C11" s="3">
        <f>'Data Sheet'!C29</f>
        <v>2079</v>
      </c>
      <c r="D11" s="3">
        <f>'Data Sheet'!D29</f>
        <v>2544</v>
      </c>
      <c r="E11" s="3">
        <f>'Data Sheet'!E29</f>
        <v>2409</v>
      </c>
      <c r="F11" s="3">
        <f>'Data Sheet'!F29</f>
        <v>2606</v>
      </c>
      <c r="G11" s="3">
        <f>'Data Sheet'!G29</f>
        <v>2987</v>
      </c>
      <c r="H11" s="3">
        <f>'Data Sheet'!H29</f>
        <v>3201</v>
      </c>
      <c r="I11" s="3">
        <f>'Data Sheet'!I29</f>
        <v>3644</v>
      </c>
      <c r="J11" s="3">
        <f>'Data Sheet'!J29</f>
        <v>3744</v>
      </c>
      <c r="K11" s="3">
        <f>'Data Sheet'!K29</f>
        <v>3160</v>
      </c>
      <c r="L11" s="3">
        <f>SUM(Quarters!H11:K11)</f>
        <v>3169</v>
      </c>
      <c r="M11" s="25">
        <f>IF($L10&gt;0,$L11/$L10,0)</f>
        <v>0.173853412332675</v>
      </c>
      <c r="N11" s="25">
        <f>IF($L10&gt;0,$L11/$L10,0)</f>
        <v>0.173853412332675</v>
      </c>
    </row>
    <row r="12" s="8" customFormat="1" spans="1:14">
      <c r="A12" s="8" t="s">
        <v>13</v>
      </c>
      <c r="B12" s="1">
        <f>'Data Sheet'!B30</f>
        <v>4476</v>
      </c>
      <c r="C12" s="1">
        <f>'Data Sheet'!C30</f>
        <v>5214</v>
      </c>
      <c r="D12" s="1">
        <f>'Data Sheet'!D30</f>
        <v>6054</v>
      </c>
      <c r="E12" s="1">
        <f>'Data Sheet'!E30</f>
        <v>6748</v>
      </c>
      <c r="F12" s="1">
        <f>'Data Sheet'!F30</f>
        <v>7995</v>
      </c>
      <c r="G12" s="1">
        <f>'Data Sheet'!G30</f>
        <v>8879</v>
      </c>
      <c r="H12" s="1">
        <f>'Data Sheet'!H30</f>
        <v>10120</v>
      </c>
      <c r="I12" s="1">
        <f>'Data Sheet'!I30</f>
        <v>10277</v>
      </c>
      <c r="J12" s="1">
        <f>'Data Sheet'!J30</f>
        <v>10649</v>
      </c>
      <c r="K12" s="1">
        <f>'Data Sheet'!K30</f>
        <v>15040</v>
      </c>
      <c r="L12" s="1">
        <f>SUM(Quarters!H12:K12)</f>
        <v>15040</v>
      </c>
      <c r="M12" s="1">
        <f>M10-M11*M10</f>
        <v>11313.6302436455</v>
      </c>
      <c r="N12" s="1">
        <f>N10-N11*N10</f>
        <v>11132.5495034419</v>
      </c>
    </row>
    <row r="13" spans="1:14">
      <c r="A13" t="s">
        <v>14</v>
      </c>
      <c r="B13" s="3">
        <f>IF('Data Sheet'!B93&gt;0,B12/'Data Sheet'!B93,0)</f>
        <v>20.6810516102204</v>
      </c>
      <c r="C13" s="3">
        <f>IF('Data Sheet'!C93&gt;0,C12/'Data Sheet'!C93,0)</f>
        <v>24.0887040887041</v>
      </c>
      <c r="D13" s="3">
        <f>IF('Data Sheet'!D93&gt;0,D12/'Data Sheet'!D93,0)</f>
        <v>27.9669238231626</v>
      </c>
      <c r="E13" s="3">
        <f>IF('Data Sheet'!E93&gt;0,E12/'Data Sheet'!E93,0)</f>
        <v>31.1714708056171</v>
      </c>
      <c r="F13" s="3">
        <f>IF('Data Sheet'!F93&gt;0,F12/'Data Sheet'!F93,0)</f>
        <v>34.0270684371808</v>
      </c>
      <c r="G13" s="3">
        <f>IF('Data Sheet'!G93&gt;0,G12/'Data Sheet'!G93,0)</f>
        <v>37.7894109635683</v>
      </c>
      <c r="H13" s="3">
        <f>IF('Data Sheet'!H93&gt;0,H12/'Data Sheet'!H93,0)</f>
        <v>43.0711610486891</v>
      </c>
      <c r="I13" s="3">
        <f>IF('Data Sheet'!I93&gt;0,I12/'Data Sheet'!I93,0)</f>
        <v>43.7393598910453</v>
      </c>
      <c r="J13" s="3">
        <f>IF('Data Sheet'!J93&gt;0,J12/'Data Sheet'!J93,0)</f>
        <v>45.322608103507</v>
      </c>
      <c r="K13" s="3">
        <f>IF('Data Sheet'!K93&gt;0,K12/'Data Sheet'!K93,0)</f>
        <v>64.0108954715696</v>
      </c>
      <c r="L13" s="3">
        <f>IF('Data Sheet'!$B6&gt;0,'Profit &amp; Loss'!L12/'Data Sheet'!$B6,0)</f>
        <v>64.0111331110949</v>
      </c>
      <c r="M13" s="3">
        <f>IF('Data Sheet'!$B6&gt;0,'Profit &amp; Loss'!M12/'Data Sheet'!$B6,0)</f>
        <v>48.1514821473207</v>
      </c>
      <c r="N13" s="3">
        <f>IF('Data Sheet'!$B6&gt;0,'Profit &amp; Loss'!N12/'Data Sheet'!$B6,0)</f>
        <v>47.3807917640075</v>
      </c>
    </row>
    <row r="14" spans="1:14">
      <c r="A14" t="s">
        <v>15</v>
      </c>
      <c r="B14" s="3">
        <f t="shared" ref="B14:K14" si="1">IF(B15&gt;0,B15/B13,"")</f>
        <v>42.1936957774799</v>
      </c>
      <c r="C14" s="3">
        <f t="shared" si="1"/>
        <v>52.9754525316456</v>
      </c>
      <c r="D14" s="3">
        <f t="shared" si="1"/>
        <v>58.4093556491576</v>
      </c>
      <c r="E14" s="3">
        <f t="shared" si="1"/>
        <v>70.5719025489034</v>
      </c>
      <c r="F14" s="3">
        <f t="shared" si="1"/>
        <v>68.3902583114447</v>
      </c>
      <c r="G14" s="3">
        <f t="shared" si="1"/>
        <v>51.8849050568758</v>
      </c>
      <c r="H14" s="3">
        <f t="shared" si="1"/>
        <v>56.8928243478261</v>
      </c>
      <c r="I14" s="3">
        <f t="shared" si="1"/>
        <v>49.5466784470176</v>
      </c>
      <c r="J14" s="3">
        <f t="shared" si="1"/>
        <v>47.6998145177951</v>
      </c>
      <c r="K14" s="3">
        <f t="shared" si="1"/>
        <v>32.1070340425532</v>
      </c>
      <c r="L14" s="3">
        <f>IF(L13&gt;0,L15/L13,0)</f>
        <v>35.4969501329787</v>
      </c>
      <c r="M14" s="3">
        <f>M25</f>
        <v>41.2126192850862</v>
      </c>
      <c r="N14" s="3">
        <f>N25</f>
        <v>35.4969501329787</v>
      </c>
    </row>
    <row r="15" s="8" customFormat="1" spans="1:14">
      <c r="A15" s="8" t="s">
        <v>16</v>
      </c>
      <c r="B15" s="1">
        <f>'Data Sheet'!B90</f>
        <v>872.61</v>
      </c>
      <c r="C15" s="1">
        <f>'Data Sheet'!C90</f>
        <v>1276.11</v>
      </c>
      <c r="D15" s="1">
        <f>'Data Sheet'!D90</f>
        <v>1633.53</v>
      </c>
      <c r="E15" s="1">
        <f>'Data Sheet'!E90</f>
        <v>2199.83</v>
      </c>
      <c r="F15" s="1">
        <f>'Data Sheet'!F90</f>
        <v>2327.12</v>
      </c>
      <c r="G15" s="1">
        <f>'Data Sheet'!G90</f>
        <v>1960.7</v>
      </c>
      <c r="H15" s="1">
        <f>'Data Sheet'!H90</f>
        <v>2450.44</v>
      </c>
      <c r="I15" s="1">
        <f>'Data Sheet'!I90</f>
        <v>2167.14</v>
      </c>
      <c r="J15" s="1">
        <f>'Data Sheet'!J90</f>
        <v>2161.88</v>
      </c>
      <c r="K15" s="1">
        <f>'Data Sheet'!K90</f>
        <v>2055.2</v>
      </c>
      <c r="L15" s="1">
        <f>'Data Sheet'!B8</f>
        <v>2272.2</v>
      </c>
      <c r="M15" s="40">
        <f>M13*M14</f>
        <v>1984.44870175015</v>
      </c>
      <c r="N15" s="41">
        <f>N13*N14</f>
        <v>1681.87360250802</v>
      </c>
    </row>
    <row r="17" s="8" customFormat="1" spans="1:14">
      <c r="A17" s="8" t="s">
        <v>17</v>
      </c>
    </row>
    <row r="18" spans="1:14">
      <c r="A18" t="s">
        <v>18</v>
      </c>
      <c r="B18" s="42">
        <f>IF('Data Sheet'!B30&gt;0,'Data Sheet'!B31/'Data Sheet'!B30,0)</f>
        <v>0.820375335120643</v>
      </c>
      <c r="C18" s="42">
        <f>IF('Data Sheet'!C30&gt;0,'Data Sheet'!C31/'Data Sheet'!C30,0)</f>
        <v>0.828538550057537</v>
      </c>
      <c r="D18" s="42">
        <f>IF('Data Sheet'!D30&gt;0,'Data Sheet'!D31/'Data Sheet'!D30,0)</f>
        <v>0.784935579781962</v>
      </c>
      <c r="E18" s="42">
        <f>IF('Data Sheet'!E30&gt;0,'Data Sheet'!E31/'Data Sheet'!E30,0)</f>
        <v>0.800237107291049</v>
      </c>
      <c r="F18" s="42">
        <f>IF('Data Sheet'!F30&gt;0,'Data Sheet'!F31/'Data Sheet'!F30,0)</f>
        <v>1.19043151969981</v>
      </c>
      <c r="G18" s="42">
        <f>IF('Data Sheet'!G30&gt;0,'Data Sheet'!G31/'Data Sheet'!G30,0)</f>
        <v>0.899876112174794</v>
      </c>
      <c r="H18" s="42">
        <f>IF('Data Sheet'!H30&gt;0,'Data Sheet'!H31/'Data Sheet'!H30,0)</f>
        <v>0.905632411067194</v>
      </c>
      <c r="I18" s="42">
        <f>IF('Data Sheet'!I30&gt;0,'Data Sheet'!I31/'Data Sheet'!I30,0)</f>
        <v>0.960397003016444</v>
      </c>
      <c r="J18" s="42">
        <f>IF('Data Sheet'!J30&gt;0,'Data Sheet'!J31/'Data Sheet'!J30,0)</f>
        <v>1.16959338905062</v>
      </c>
      <c r="K18" s="42">
        <f>IF('Data Sheet'!K30&gt;0,'Data Sheet'!K31/'Data Sheet'!K30,0)</f>
        <v>0.640625</v>
      </c>
    </row>
    <row r="19" spans="1:14">
      <c r="A19" t="s">
        <v>19</v>
      </c>
      <c r="B19" s="42">
        <f t="shared" ref="B19:L19" si="2">IF(B6&gt;0,B6/B4,0)</f>
        <v>0.19082081900971</v>
      </c>
      <c r="C19" s="42">
        <f t="shared" si="2"/>
        <v>0.210972007314672</v>
      </c>
      <c r="D19" s="42">
        <f t="shared" si="2"/>
        <v>0.225896718392267</v>
      </c>
      <c r="E19" s="42">
        <f t="shared" si="2"/>
        <v>0.247869693084986</v>
      </c>
      <c r="F19" s="42">
        <f t="shared" si="2"/>
        <v>0.247214425448669</v>
      </c>
      <c r="G19" s="42">
        <f t="shared" si="2"/>
        <v>0.245147389696068</v>
      </c>
      <c r="H19" s="42">
        <f t="shared" si="2"/>
        <v>0.233525916143942</v>
      </c>
      <c r="I19" s="42">
        <f t="shared" si="2"/>
        <v>0.23683275171255</v>
      </c>
      <c r="J19" s="42">
        <f t="shared" si="2"/>
        <v>0.235151534354652</v>
      </c>
      <c r="K19" s="42">
        <f t="shared" si="2"/>
        <v>0.233278525780232</v>
      </c>
      <c r="L19" s="42">
        <f t="shared" si="2"/>
        <v>0.231766960521273</v>
      </c>
    </row>
    <row r="20" spans="1:14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1:14"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</row>
    <row r="22" s="8" customFormat="1" spans="1:14">
      <c r="A22" s="13"/>
      <c r="B22" s="7"/>
      <c r="C22" s="7"/>
      <c r="D22" s="7"/>
      <c r="E22" s="7"/>
      <c r="F22" s="7"/>
      <c r="G22" s="7" t="s">
        <v>20</v>
      </c>
      <c r="H22" s="7" t="s">
        <v>21</v>
      </c>
      <c r="I22" s="7" t="s">
        <v>22</v>
      </c>
      <c r="J22" s="7" t="s">
        <v>23</v>
      </c>
      <c r="K22" s="7" t="s">
        <v>24</v>
      </c>
      <c r="L22" s="39" t="s">
        <v>25</v>
      </c>
      <c r="M22" s="39" t="s">
        <v>26</v>
      </c>
      <c r="N22" s="39" t="s">
        <v>27</v>
      </c>
    </row>
    <row r="23" s="8" customFormat="1" spans="1:14">
      <c r="G23" t="s">
        <v>28</v>
      </c>
      <c r="H23" s="42">
        <f>IF(B4=0,"",POWER($K4/B4,1/9)-1)</f>
        <v>0.0766589742078769</v>
      </c>
      <c r="I23" s="42">
        <f>IF(D4=0,"",POWER($K4/D4,1/7)-1)</f>
        <v>0.0732270082214179</v>
      </c>
      <c r="J23" s="42">
        <f>IF(F4=0,"",POWER($K4/F4,1/5)-1)</f>
        <v>0.0651175424096415</v>
      </c>
      <c r="K23" s="42">
        <f>IF(H4=0,"",POWER($K4/H4,1/3)-1)</f>
        <v>0.0209511815463435</v>
      </c>
      <c r="L23" s="42">
        <f>IF(ISERROR(MAX(IF(J4=0,"",(K4-J4)/J4),IF(K4=0,"",(L4-K4)/K4))),"",MAX(IF(J4=0,"",(K4-J4)/J4),IF(K4=0,"",(L4-K4)/K4)))</f>
        <v>0.0213399660968616</v>
      </c>
      <c r="M23" s="43">
        <f>MAX(K23:L23)</f>
        <v>0.0213399660968616</v>
      </c>
      <c r="N23" s="43">
        <f>MIN(H23:L23)</f>
        <v>0.0209511815463435</v>
      </c>
    </row>
    <row r="24" spans="1:14">
      <c r="G24" t="s">
        <v>19</v>
      </c>
      <c r="H24" s="42">
        <f>IF(SUM(B4:$K$4)=0,"",SUMPRODUCT(B19:$K$19,B4:$K$4)/SUM(B4:$K$4))</f>
        <v>0.232716517305098</v>
      </c>
      <c r="I24" s="42">
        <f>IF(SUM(E4:$K$4)=0,"",SUMPRODUCT(E19:$K$19,E4:$K$4)/SUM(E4:$K$4))</f>
        <v>0.238959010793122</v>
      </c>
      <c r="J24" s="42">
        <f>IF(SUM(G4:$K$4)=0,"",SUMPRODUCT(G19:$K$19,G4:$K$4)/SUM(G4:$K$4))</f>
        <v>0.236503796556158</v>
      </c>
      <c r="K24" s="42">
        <f>IF(SUM(I4:$K$4)=0,"",SUMPRODUCT(I19:$K$19,I4:$K$4)/SUM(I4:$K$4))</f>
        <v>0.235063461487717</v>
      </c>
      <c r="L24" s="42">
        <f>L19</f>
        <v>0.231766960521273</v>
      </c>
      <c r="M24" s="43">
        <f>MAX(K24:L24)</f>
        <v>0.235063461487717</v>
      </c>
      <c r="N24" s="43">
        <f>MIN(H24:L24)</f>
        <v>0.231766960521273</v>
      </c>
    </row>
    <row r="25" spans="1:14">
      <c r="G25" t="s">
        <v>29</v>
      </c>
      <c r="H25" s="3">
        <f>IF(ISERROR(AVERAGEIF(B14:$L14,"&gt;0")),"",AVERAGEIF(B14:$L14,"&gt;0"))</f>
        <v>51.469897396698</v>
      </c>
      <c r="I25" s="3">
        <f>IF(ISERROR(AVERAGEIF(E14:$L14,"&gt;0")),"",AVERAGEIF(E14:$L14,"&gt;0"))</f>
        <v>51.5737959256743</v>
      </c>
      <c r="J25" s="3">
        <f>IF(ISERROR(AVERAGEIF(G14:$L14,"&gt;0")),"",AVERAGEIF(G14:$L14,"&gt;0"))</f>
        <v>45.6047010908411</v>
      </c>
      <c r="K25" s="3">
        <f>IF(ISERROR(AVERAGEIF(I14:$L14,"&gt;0")),"",AVERAGEIF(I14:$L14,"&gt;0"))</f>
        <v>41.2126192850862</v>
      </c>
      <c r="L25" s="3">
        <f>L14</f>
        <v>35.4969501329787</v>
      </c>
      <c r="M25" s="1">
        <f>MAX(K25:L25)</f>
        <v>41.2126192850862</v>
      </c>
      <c r="N25" s="1">
        <f>MIN(H25:L25)</f>
        <v>35.4969501329787</v>
      </c>
    </row>
  </sheetData>
  <hyperlinks>
    <hyperlink ref="M1" r:id="rId2" display="SCREENER.IN"/>
  </hyperlinks>
  <printOptions gridLines="1"/>
  <pageMargins left="0.7" right="0.7" top="0.75" bottom="0.75" header="0.3" footer="0.3"/>
  <pageSetup paperSize="9" orientation="landscape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workbookViewId="0">
      <pane xSplit="1" ySplit="2" topLeftCell="B35" activePane="bottomRight" state="frozen"/>
      <selection/>
      <selection pane="topRight"/>
      <selection pane="bottomLeft"/>
      <selection pane="bottomRight" activeCell="B35" sqref="B35"/>
    </sheetView>
  </sheetViews>
  <sheetFormatPr defaultColWidth="9" defaultRowHeight="14.5"/>
  <cols>
    <col min="1" max="15" width="18" customWidth="1"/>
  </cols>
  <sheetData>
    <row r="1" ht="23.5" customHeight="1" spans="1:15">
      <c r="A1" s="18" t="s">
        <v>30</v>
      </c>
    </row>
    <row r="2" spans="1:15">
      <c r="B2" s="19">
        <f>'Profit &amp; Loss'!F3</f>
        <v>44286</v>
      </c>
      <c r="C2" s="19">
        <f>'Profit &amp; Loss'!G3</f>
        <v>44651</v>
      </c>
      <c r="D2" s="19">
        <f>'Profit &amp; Loss'!H3</f>
        <v>45016</v>
      </c>
      <c r="E2" s="19">
        <f>'Profit &amp; Loss'!I3</f>
        <v>45382</v>
      </c>
      <c r="F2" s="19">
        <f>'Profit &amp; Loss'!J3</f>
        <v>45747</v>
      </c>
      <c r="G2" s="19">
        <f>'Profit &amp; Loss'!K3</f>
        <v>46112</v>
      </c>
      <c r="H2" s="20">
        <f>DATE(YEAR(G2)+1,MONTH(G2),DAY(G2))</f>
        <v>46477</v>
      </c>
      <c r="I2" s="20">
        <f>DATE(YEAR(H2)+1,MONTH(H2),DAY(H2))</f>
        <v>46843</v>
      </c>
      <c r="J2" s="20">
        <f>DATE(YEAR(I2)+1,MONTH(I2),DAY(I2))</f>
        <v>47208</v>
      </c>
      <c r="K2" s="20">
        <f>DATE(YEAR(J2)+1,MONTH(J2),DAY(J2))</f>
        <v>47573</v>
      </c>
      <c r="L2" s="20">
        <f>DATE(YEAR(K2)+1,MONTH(K2),DAY(K2))</f>
        <v>47938</v>
      </c>
      <c r="O2" t="s">
        <v>31</v>
      </c>
    </row>
    <row r="3" spans="1:15">
      <c r="A3" s="8" t="s">
        <v>31</v>
      </c>
      <c r="B3" s="21">
        <f>'Profit &amp; Loss'!F4</f>
        <v>47028</v>
      </c>
      <c r="C3" s="21">
        <f>'Profit &amp; Loss'!G4</f>
        <v>52446</v>
      </c>
      <c r="D3" s="21">
        <f>'Profit &amp; Loss'!H4</f>
        <v>60580</v>
      </c>
      <c r="E3" s="21">
        <f>'Profit &amp; Loss'!I4</f>
        <v>61896</v>
      </c>
      <c r="F3" s="21">
        <f>'Profit &amp; Loss'!J4</f>
        <v>63121</v>
      </c>
      <c r="G3" s="21">
        <f>'Profit &amp; Loss'!K4</f>
        <v>64468</v>
      </c>
      <c r="H3">
        <f>G3*(1+H4)</f>
        <v>68763.5723175078</v>
      </c>
      <c r="I3">
        <f>H3*(1+I4)</f>
        <v>72677.2992394627</v>
      </c>
      <c r="J3">
        <f>I3*(1+J4)</f>
        <v>75386.7285577136</v>
      </c>
      <c r="K3">
        <f>J3*(1+K4)</f>
        <v>78431.7233237251</v>
      </c>
      <c r="L3">
        <f>K3*(1+L4)</f>
        <v>81922.8553292348</v>
      </c>
      <c r="O3" t="s">
        <v>32</v>
      </c>
    </row>
    <row r="4" spans="1:15">
      <c r="C4" s="22">
        <f>C3/B3-1</f>
        <v>0.115207961214596</v>
      </c>
      <c r="D4" s="22">
        <f>D3/C3-1</f>
        <v>0.155092857415246</v>
      </c>
      <c r="E4" s="22">
        <f>E3/D3-1</f>
        <v>0.0217233410366457</v>
      </c>
      <c r="F4" s="22">
        <f>F3/E3-1</f>
        <v>0.019791262763345</v>
      </c>
      <c r="G4" s="22">
        <f>G3/F3-1</f>
        <v>0.0213399660968616</v>
      </c>
      <c r="H4" s="23">
        <f>AVERAGE(C4:G4)</f>
        <v>0.0666310777053388</v>
      </c>
      <c r="I4" s="23">
        <f>AVERAGE(D4:H4)</f>
        <v>0.0569157010034875</v>
      </c>
      <c r="J4" s="23">
        <f>AVERAGE(E4:I4)</f>
        <v>0.0372802697211357</v>
      </c>
      <c r="K4" s="23">
        <f>AVERAGE(F4:J4)</f>
        <v>0.0403916554580337</v>
      </c>
      <c r="L4" s="23">
        <f>AVERAGE(G4:K4)</f>
        <v>0.0445117339969715</v>
      </c>
      <c r="O4" t="s">
        <v>33</v>
      </c>
    </row>
    <row r="5" spans="1:15">
      <c r="O5" t="s">
        <v>34</v>
      </c>
    </row>
    <row r="6" spans="1:15">
      <c r="A6" t="s">
        <v>35</v>
      </c>
      <c r="B6" s="3">
        <f>'Profit &amp; Loss'!F6-'Profit &amp; Loss'!F8</f>
        <v>10552</v>
      </c>
      <c r="C6" s="3">
        <f>'Profit &amp; Loss'!G6-'Profit &amp; Loss'!G8</f>
        <v>11766</v>
      </c>
      <c r="D6" s="3">
        <f>'Profit &amp; Loss'!H6-'Profit &amp; Loss'!H8</f>
        <v>13010</v>
      </c>
      <c r="E6" s="3">
        <f>'Profit &amp; Loss'!I6-'Profit &amp; Loss'!I8</f>
        <v>13443</v>
      </c>
      <c r="F6" s="3">
        <f>'Profit &amp; Loss'!J6-'Profit &amp; Loss'!J8</f>
        <v>13488</v>
      </c>
      <c r="G6" s="3">
        <f>'Profit &amp; Loss'!K6-'Profit &amp; Loss'!K8</f>
        <v>13706</v>
      </c>
      <c r="H6" s="24">
        <f>H3*H7</f>
        <v>14978.4558049218</v>
      </c>
      <c r="I6" s="24">
        <f>I3*I7</f>
        <v>15751.6073087096</v>
      </c>
      <c r="J6" s="24">
        <f>J3*J7</f>
        <v>16243.1969440103</v>
      </c>
      <c r="K6" s="24">
        <f>K3*K7</f>
        <v>16908.5361988554</v>
      </c>
      <c r="L6" s="24">
        <f>L3*L7</f>
        <v>17639.2634570785</v>
      </c>
      <c r="O6" t="s">
        <v>36</v>
      </c>
    </row>
    <row r="7" spans="1:15">
      <c r="B7" s="25">
        <f t="shared" ref="B7:G7" si="0">B6/B3</f>
        <v>0.224376966913328</v>
      </c>
      <c r="C7" s="25">
        <f t="shared" si="0"/>
        <v>0.224345040613202</v>
      </c>
      <c r="D7" s="25">
        <f t="shared" si="0"/>
        <v>0.214757345658633</v>
      </c>
      <c r="E7" s="25">
        <f t="shared" si="0"/>
        <v>0.217186894145017</v>
      </c>
      <c r="F7" s="25">
        <f t="shared" si="0"/>
        <v>0.213684827553429</v>
      </c>
      <c r="G7" s="25">
        <f t="shared" si="0"/>
        <v>0.212601600794192</v>
      </c>
      <c r="H7" s="23">
        <f>AVERAGE(B7:G7)</f>
        <v>0.2178254459463</v>
      </c>
      <c r="I7" s="23">
        <f>AVERAGE(C7:H7)</f>
        <v>0.216733525785129</v>
      </c>
      <c r="J7" s="23">
        <f>AVERAGE(D7:I7)</f>
        <v>0.21546493998045</v>
      </c>
      <c r="K7" s="23">
        <f>AVERAGE(E7:J7)</f>
        <v>0.21558287236742</v>
      </c>
      <c r="L7" s="23">
        <f>AVERAGE(F7:K7)</f>
        <v>0.215315535404487</v>
      </c>
    </row>
    <row r="8" spans="1:15">
      <c r="O8" t="s">
        <v>37</v>
      </c>
    </row>
    <row r="9" spans="1:15">
      <c r="A9" t="s">
        <v>38</v>
      </c>
      <c r="B9" s="22">
        <v>0.24</v>
      </c>
      <c r="C9" s="22">
        <v>0.24</v>
      </c>
      <c r="D9" s="22">
        <v>0.24</v>
      </c>
      <c r="E9" s="22">
        <v>0.24</v>
      </c>
      <c r="F9" s="22">
        <v>0.24</v>
      </c>
      <c r="G9" s="22">
        <f>'Profit &amp; Loss'!K11/'Profit &amp; Loss'!K10</f>
        <v>0.173445304352599</v>
      </c>
      <c r="H9" s="23">
        <v>0.24</v>
      </c>
      <c r="I9" s="23">
        <v>0.24</v>
      </c>
      <c r="J9" s="23">
        <v>0.24</v>
      </c>
      <c r="K9" s="23">
        <v>0.24</v>
      </c>
      <c r="L9" s="23">
        <v>0.24</v>
      </c>
    </row>
    <row r="11" spans="1:15">
      <c r="A11" s="8" t="s">
        <v>39</v>
      </c>
      <c r="B11" s="26">
        <f t="shared" ref="B11:L11" si="1">B6*(1-B9)</f>
        <v>8019.52</v>
      </c>
      <c r="C11" s="26">
        <f t="shared" si="1"/>
        <v>8942.16</v>
      </c>
      <c r="D11" s="26">
        <f t="shared" si="1"/>
        <v>9887.6</v>
      </c>
      <c r="E11" s="26">
        <f t="shared" si="1"/>
        <v>10216.68</v>
      </c>
      <c r="F11" s="26">
        <f t="shared" si="1"/>
        <v>10250.88</v>
      </c>
      <c r="G11" s="26">
        <f t="shared" si="1"/>
        <v>11328.7586585433</v>
      </c>
      <c r="H11" s="26">
        <f t="shared" si="1"/>
        <v>11383.6264117406</v>
      </c>
      <c r="I11" s="26">
        <f t="shared" si="1"/>
        <v>11971.2215546193</v>
      </c>
      <c r="J11" s="26">
        <f t="shared" si="1"/>
        <v>12344.8296774478</v>
      </c>
      <c r="K11" s="26">
        <f t="shared" si="1"/>
        <v>12850.4875111301</v>
      </c>
      <c r="L11" s="26">
        <f t="shared" si="1"/>
        <v>13405.8402273797</v>
      </c>
    </row>
    <row r="13" spans="1:15">
      <c r="A13" t="s">
        <v>9</v>
      </c>
      <c r="B13" s="27">
        <f>'Profit &amp; Loss'!F8</f>
        <v>1074</v>
      </c>
      <c r="C13" s="27">
        <f>'Profit &amp; Loss'!G8</f>
        <v>1091</v>
      </c>
      <c r="D13" s="27">
        <f>'Profit &amp; Loss'!H8</f>
        <v>1137</v>
      </c>
      <c r="E13" s="27">
        <f>'Profit &amp; Loss'!I8</f>
        <v>1216</v>
      </c>
      <c r="F13" s="27">
        <f>'Profit &amp; Loss'!J8</f>
        <v>1355</v>
      </c>
      <c r="G13" s="27">
        <f>'Profit &amp; Loss'!K8</f>
        <v>1333</v>
      </c>
      <c r="H13" s="27">
        <f>AVERAGE(B13:G13)</f>
        <v>1201</v>
      </c>
      <c r="I13" s="27">
        <f>AVERAGE(C13:H13)</f>
        <v>1222.16666666667</v>
      </c>
      <c r="J13" s="27">
        <f>AVERAGE(D13:I13)</f>
        <v>1244.02777777778</v>
      </c>
      <c r="K13" s="27">
        <f>AVERAGE(E13:J13)</f>
        <v>1261.86574074074</v>
      </c>
      <c r="L13" s="27">
        <f>AVERAGE(F13:K13)</f>
        <v>1269.5100308642</v>
      </c>
    </row>
    <row r="15" spans="1:15">
      <c r="A15" t="s">
        <v>40</v>
      </c>
      <c r="C15" s="27">
        <f>-('Balance Sheet'!G10+'Balance Sheet'!G11-'Balance Sheet'!F10-'Balance Sheet'!F11)</f>
        <v>-598</v>
      </c>
      <c r="D15" s="27">
        <f>-('Balance Sheet'!H10+'Balance Sheet'!H11-'Balance Sheet'!G10-'Balance Sheet'!G11)</f>
        <v>-1024</v>
      </c>
      <c r="E15" s="27">
        <f>-('Balance Sheet'!I10+'Balance Sheet'!I11-'Balance Sheet'!H10-'Balance Sheet'!H11)</f>
        <v>-959</v>
      </c>
      <c r="F15" s="27">
        <f>-('Balance Sheet'!J10+'Balance Sheet'!J11-'Balance Sheet'!I10-'Balance Sheet'!I11)</f>
        <v>-575</v>
      </c>
      <c r="G15" s="27">
        <f>-('Balance Sheet'!K10+'Balance Sheet'!K11-'Balance Sheet'!J10-'Balance Sheet'!J11)</f>
        <v>-2964</v>
      </c>
      <c r="H15" s="28">
        <f>H3*H16</f>
        <v>-1359.937038279</v>
      </c>
      <c r="I15" s="28">
        <f>I3*I16</f>
        <v>-1559.07028884163</v>
      </c>
      <c r="J15" s="28">
        <f>J3*J16</f>
        <v>-1685.7749982652</v>
      </c>
      <c r="K15" s="28">
        <f>K3*K16</f>
        <v>-1861.59947820575</v>
      </c>
      <c r="L15" s="28">
        <f>L3*L16</f>
        <v>-2184.09994321264</v>
      </c>
    </row>
    <row r="16" spans="1:15">
      <c r="A16" s="29" t="s">
        <v>41</v>
      </c>
      <c r="C16" s="30">
        <f>C15/C3</f>
        <v>-0.0114022041719102</v>
      </c>
      <c r="D16" s="30">
        <f>D15/D3</f>
        <v>-0.0169032684054143</v>
      </c>
      <c r="E16" s="30">
        <f>E15/E3</f>
        <v>-0.0154937314204472</v>
      </c>
      <c r="F16" s="30">
        <f>F15/F3</f>
        <v>-0.00910948812598026</v>
      </c>
      <c r="G16" s="30">
        <f>G15/G3</f>
        <v>-0.0459762983185456</v>
      </c>
      <c r="H16" s="31">
        <f>AVERAGE(C16:G16)</f>
        <v>-0.0197769980884595</v>
      </c>
      <c r="I16" s="31">
        <f>AVERAGE(D16:H16)</f>
        <v>-0.0214519568717694</v>
      </c>
      <c r="J16" s="31">
        <f>AVERAGE(E16:I16)</f>
        <v>-0.0223616945650404</v>
      </c>
      <c r="K16" s="31">
        <f>AVERAGE(F16:J16)</f>
        <v>-0.023735287193959</v>
      </c>
      <c r="L16" s="31">
        <f>AVERAGE(G16:K16)</f>
        <v>-0.0266604470075548</v>
      </c>
    </row>
    <row r="17" spans="1:12">
      <c r="A17" s="29"/>
      <c r="C17" s="23"/>
    </row>
    <row r="18" spans="1:12">
      <c r="A18" s="29"/>
    </row>
    <row r="19" spans="1:12">
      <c r="A19" t="s">
        <v>42</v>
      </c>
      <c r="C19" s="32">
        <f>-('Balance Sheet'!G16-'Balance Sheet'!F16)</f>
        <v>-1020</v>
      </c>
      <c r="D19" s="32">
        <f>-('Balance Sheet'!H16-'Balance Sheet'!G16)</f>
        <v>-1034</v>
      </c>
      <c r="E19" s="32">
        <f>-('Balance Sheet'!I16-'Balance Sheet'!H16)</f>
        <v>1523</v>
      </c>
      <c r="F19" s="32">
        <f>-('Balance Sheet'!J16-'Balance Sheet'!I16)</f>
        <v>1412</v>
      </c>
      <c r="G19" s="32">
        <f>-('Balance Sheet'!K16-'Balance Sheet'!J16)</f>
        <v>4346</v>
      </c>
      <c r="H19" s="28">
        <f>H3*H20</f>
        <v>1070.95000444864</v>
      </c>
      <c r="I19" s="28">
        <f>I3*I20</f>
        <v>1640.97864049377</v>
      </c>
      <c r="J19" s="28">
        <f>J3*J20</f>
        <v>2299.93097382529</v>
      </c>
      <c r="K19" s="28">
        <f>K3*K20</f>
        <v>2485.41988365241</v>
      </c>
      <c r="L19" s="28">
        <f>L3*L20</f>
        <v>2748.74177717434</v>
      </c>
    </row>
    <row r="20" spans="1:12">
      <c r="A20" s="29" t="s">
        <v>41</v>
      </c>
      <c r="C20" s="30">
        <f>C19/C3</f>
        <v>-0.0194485756778401</v>
      </c>
      <c r="D20" s="30">
        <f>D19/D3</f>
        <v>-0.017068339385936</v>
      </c>
      <c r="E20" s="30">
        <f>E19/E3</f>
        <v>0.0246057903580199</v>
      </c>
      <c r="F20" s="30">
        <f>F19/F3</f>
        <v>0.0223697343197985</v>
      </c>
      <c r="G20" s="30">
        <f>G19/G3</f>
        <v>0.0674132903145747</v>
      </c>
      <c r="H20" s="31">
        <f>AVERAGE(C20:G20)</f>
        <v>0.0155743799857234</v>
      </c>
      <c r="I20" s="31">
        <f>AVERAGE(D20:H20)</f>
        <v>0.0225789711184361</v>
      </c>
      <c r="J20" s="31">
        <f>AVERAGE(E20:I20)</f>
        <v>0.0305084332193105</v>
      </c>
      <c r="K20" s="31">
        <f>AVERAGE(F20:J20)</f>
        <v>0.0316889617915686</v>
      </c>
      <c r="L20" s="31">
        <f>AVERAGE(G20:K20)</f>
        <v>0.0335528072859227</v>
      </c>
    </row>
    <row r="21" spans="1:12">
      <c r="A21" s="29"/>
      <c r="C21" s="30"/>
      <c r="D21" s="30"/>
      <c r="E21" s="30"/>
      <c r="F21" s="30"/>
      <c r="G21" s="30"/>
    </row>
    <row r="22" spans="1:12">
      <c r="A22" s="29"/>
      <c r="C22" s="30"/>
      <c r="D22" s="30"/>
      <c r="E22" s="30"/>
      <c r="F22" s="30"/>
      <c r="G22" s="30"/>
    </row>
    <row r="23" spans="1:12">
      <c r="A23" s="33" t="s">
        <v>43</v>
      </c>
      <c r="B23" s="34">
        <f>SUM(B11:B19)</f>
        <v>9093.52</v>
      </c>
      <c r="C23" s="34">
        <f t="shared" ref="C23:L23" si="2">SUM(C11:C15,C19)</f>
        <v>8415.16</v>
      </c>
      <c r="D23" s="34">
        <f t="shared" si="2"/>
        <v>8966.6</v>
      </c>
      <c r="E23" s="34">
        <f t="shared" si="2"/>
        <v>11996.68</v>
      </c>
      <c r="F23" s="34">
        <f t="shared" si="2"/>
        <v>12442.88</v>
      </c>
      <c r="G23" s="34">
        <f t="shared" si="2"/>
        <v>14043.7586585433</v>
      </c>
      <c r="H23" s="34">
        <f t="shared" si="2"/>
        <v>12295.6393779102</v>
      </c>
      <c r="I23" s="34">
        <f t="shared" si="2"/>
        <v>13275.2965729381</v>
      </c>
      <c r="J23" s="34">
        <f t="shared" si="2"/>
        <v>14203.0134307857</v>
      </c>
      <c r="K23" s="34">
        <f t="shared" si="2"/>
        <v>14736.1736573175</v>
      </c>
      <c r="L23" s="34">
        <f t="shared" si="2"/>
        <v>15239.9920922056</v>
      </c>
    </row>
    <row r="24" spans="1:12">
      <c r="A24" s="8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2">
      <c r="A25" s="8" t="s">
        <v>44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>
        <f>B34</f>
        <v>232954.164837999</v>
      </c>
    </row>
    <row r="26" spans="1:12">
      <c r="A26" s="8"/>
      <c r="B26" s="34">
        <f t="shared" ref="B26:L26" si="3">B23+L25</f>
        <v>242047.684837999</v>
      </c>
      <c r="C26" s="34">
        <f t="shared" si="3"/>
        <v>8415.16</v>
      </c>
      <c r="D26" s="34">
        <f t="shared" si="3"/>
        <v>8966.6</v>
      </c>
      <c r="E26" s="34">
        <f t="shared" si="3"/>
        <v>11996.68</v>
      </c>
      <c r="F26" s="34">
        <f t="shared" si="3"/>
        <v>12442.88</v>
      </c>
      <c r="G26" s="34">
        <f t="shared" si="3"/>
        <v>14043.7586585433</v>
      </c>
      <c r="H26" s="34">
        <f t="shared" si="3"/>
        <v>12295.6393779102</v>
      </c>
      <c r="I26" s="34">
        <f t="shared" si="3"/>
        <v>13275.2965729381</v>
      </c>
      <c r="J26" s="34">
        <f t="shared" si="3"/>
        <v>14203.0134307857</v>
      </c>
      <c r="K26" s="34">
        <f t="shared" si="3"/>
        <v>14736.1736573175</v>
      </c>
      <c r="L26" s="34">
        <f t="shared" si="3"/>
        <v>15239.9920922056</v>
      </c>
    </row>
    <row r="28" spans="1:12">
      <c r="A28" s="8" t="s">
        <v>45</v>
      </c>
    </row>
    <row r="29" spans="1:12">
      <c r="A29" t="s">
        <v>46</v>
      </c>
      <c r="B29" s="24">
        <f>L23</f>
        <v>15239.9920922056</v>
      </c>
      <c r="D29" t="s">
        <v>47</v>
      </c>
      <c r="G29" t="s">
        <v>48</v>
      </c>
      <c r="J29" t="s">
        <v>49</v>
      </c>
    </row>
    <row r="30" spans="1:12">
      <c r="A30" t="s">
        <v>50</v>
      </c>
      <c r="B30" s="31">
        <v>0.07</v>
      </c>
      <c r="C30" s="31">
        <v>0.065</v>
      </c>
      <c r="D30" s="31">
        <v>0.06</v>
      </c>
      <c r="E30" s="31">
        <v>0.055</v>
      </c>
      <c r="F30" s="31">
        <v>0.05</v>
      </c>
      <c r="G30" t="s">
        <v>51</v>
      </c>
      <c r="H30" s="23">
        <f>'Profit &amp; Loss'!K9/AVERAGE('Balance Sheet'!K6)</f>
        <v>0.277401894451962</v>
      </c>
      <c r="I30" s="23">
        <f>H30*(1-30%)</f>
        <v>0.194181326116373</v>
      </c>
      <c r="J30" s="23">
        <f>L30/L32</f>
        <v>0.0294322639743513</v>
      </c>
      <c r="L30" s="32">
        <f>'Balance Sheet'!K6</f>
        <v>1478</v>
      </c>
    </row>
    <row r="31" spans="1:12">
      <c r="B31">
        <f>B29*(1+B30)</f>
        <v>16306.7915386599</v>
      </c>
      <c r="G31" t="s">
        <v>52</v>
      </c>
      <c r="H31" t="s">
        <v>53</v>
      </c>
      <c r="I31" t="s">
        <v>54</v>
      </c>
      <c r="J31" s="23">
        <f>L31/L32</f>
        <v>0.970567736025649</v>
      </c>
      <c r="L31" s="32">
        <f>'Balance Sheet'!K4+'Balance Sheet'!K5</f>
        <v>48739</v>
      </c>
    </row>
    <row r="32" spans="1:12">
      <c r="H32" t="s">
        <v>55</v>
      </c>
      <c r="I32">
        <v>7.07</v>
      </c>
      <c r="J32" s="23"/>
      <c r="L32" s="32">
        <f>SUM(L30:L31)</f>
        <v>50217</v>
      </c>
    </row>
    <row r="33" spans="1:9">
      <c r="A33" t="s">
        <v>56</v>
      </c>
      <c r="B33" s="31">
        <v>0.07</v>
      </c>
      <c r="C33" s="31">
        <v>0.065</v>
      </c>
      <c r="D33" s="31">
        <v>0.06</v>
      </c>
      <c r="E33" s="31">
        <v>0.055</v>
      </c>
      <c r="F33" s="31">
        <v>0.05</v>
      </c>
      <c r="H33" t="s">
        <v>57</v>
      </c>
      <c r="I33">
        <v>0.62</v>
      </c>
    </row>
    <row r="34" spans="1:9">
      <c r="A34" s="33" t="s">
        <v>58</v>
      </c>
      <c r="B34" s="33">
        <f>B31/B33</f>
        <v>232954.164837999</v>
      </c>
      <c r="H34" t="s">
        <v>59</v>
      </c>
      <c r="I34" s="23">
        <v>0.13</v>
      </c>
    </row>
    <row r="35" spans="1:9">
      <c r="I35" s="24">
        <f>I32+I33*(I34-I32)</f>
        <v>2.7672</v>
      </c>
    </row>
    <row r="36" spans="1:9">
      <c r="A36" s="8" t="s">
        <v>60</v>
      </c>
    </row>
    <row r="37" spans="1:9">
      <c r="A37" t="s">
        <v>61</v>
      </c>
      <c r="B37" s="35">
        <f>NPV(I37,G26:L26)</f>
        <v>3667.00861193485</v>
      </c>
      <c r="I37" s="22">
        <f>I30*J30+(I35+J31)</f>
        <v>3.7434829320748</v>
      </c>
    </row>
    <row r="38" spans="1:9">
      <c r="A38" s="8" t="s">
        <v>62</v>
      </c>
      <c r="B38" s="32">
        <f>'Balance Sheet'!K6-'Data Sheet'!K69</f>
        <v>-1770</v>
      </c>
    </row>
    <row r="39" spans="1:9">
      <c r="A39" t="s">
        <v>63</v>
      </c>
      <c r="B39" s="35">
        <f>B37-B40</f>
        <v>3432.04861193485</v>
      </c>
    </row>
    <row r="40" spans="1:9">
      <c r="A40" t="s">
        <v>64</v>
      </c>
      <c r="B40">
        <f>'Data Sheet'!K93</f>
        <v>234.96</v>
      </c>
    </row>
    <row r="41" spans="1:9">
      <c r="A41" s="33" t="s">
        <v>65</v>
      </c>
      <c r="B41" s="36">
        <f>B39/B40</f>
        <v>14.606948467547</v>
      </c>
    </row>
    <row r="43" spans="1:9">
      <c r="A43" t="s">
        <v>66</v>
      </c>
      <c r="B43">
        <v>2055</v>
      </c>
    </row>
    <row r="44" spans="1:9">
      <c r="A44" t="s">
        <v>67</v>
      </c>
      <c r="B44" t="s">
        <v>68</v>
      </c>
    </row>
    <row r="47" spans="1:9">
      <c r="A47" s="37" t="s">
        <v>69</v>
      </c>
    </row>
    <row r="48" spans="1:9">
      <c r="A48" t="s">
        <v>70</v>
      </c>
    </row>
    <row r="49" spans="1:1">
      <c r="A49" t="s">
        <v>71</v>
      </c>
    </row>
    <row r="50" spans="1:1">
      <c r="A50" t="s">
        <v>72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K22"/>
  <sheetViews>
    <sheetView zoomScale="150" zoomScaleNormal="150" workbookViewId="0">
      <pane xSplit="1" ySplit="3" topLeftCell="D4" activePane="bottomRight" state="frozen"/>
      <selection/>
      <selection pane="topRight"/>
      <selection pane="bottomLeft"/>
      <selection pane="bottomRight" activeCell="K5" sqref="K5"/>
    </sheetView>
  </sheetViews>
  <sheetFormatPr defaultColWidth="8.81818181818182" defaultRowHeight="14.5"/>
  <cols>
    <col min="1" max="1" width="20.6363636363636" customWidth="1"/>
    <col min="2" max="11" width="13.4545454545455" customWidth="1"/>
    <col min="12" max="16384" width="8.81818181818182" customWidth="1"/>
  </cols>
  <sheetData>
    <row r="1" s="8" customFormat="1" spans="1:11">
      <c r="A1" s="8" t="str">
        <f>'Profit &amp; Loss'!A1</f>
        <v>HINDUSTAN UNILEVER LTD</v>
      </c>
      <c r="E1" t="str">
        <f>UPDATE</f>
        <v/>
      </c>
      <c r="J1" s="8" t="s">
        <v>0</v>
      </c>
    </row>
    <row r="3" s="8" customFormat="1" spans="1:11">
      <c r="A3" s="13" t="s">
        <v>1</v>
      </c>
      <c r="B3" s="7">
        <f>'Data Sheet'!B41</f>
        <v>45291</v>
      </c>
      <c r="C3" s="7">
        <f>'Data Sheet'!C41</f>
        <v>45382</v>
      </c>
      <c r="D3" s="7">
        <f>'Data Sheet'!D41</f>
        <v>45473</v>
      </c>
      <c r="E3" s="7">
        <f>'Data Sheet'!E41</f>
        <v>45565</v>
      </c>
      <c r="F3" s="7">
        <f>'Data Sheet'!F41</f>
        <v>45657</v>
      </c>
      <c r="G3" s="7">
        <f>'Data Sheet'!G41</f>
        <v>45747</v>
      </c>
      <c r="H3" s="7">
        <f>'Data Sheet'!H41</f>
        <v>45838</v>
      </c>
      <c r="I3" s="7">
        <f>'Data Sheet'!I41</f>
        <v>45930</v>
      </c>
      <c r="J3" s="7">
        <f>'Data Sheet'!J41</f>
        <v>46022</v>
      </c>
      <c r="K3" s="7">
        <f>'Data Sheet'!K41</f>
        <v>46112</v>
      </c>
    </row>
    <row r="4" s="8" customFormat="1" spans="1:11">
      <c r="A4" s="8" t="s">
        <v>5</v>
      </c>
      <c r="B4" s="1">
        <f>'Data Sheet'!B42</f>
        <v>15567</v>
      </c>
      <c r="C4" s="1">
        <f>'Data Sheet'!C42</f>
        <v>15210</v>
      </c>
      <c r="D4" s="1">
        <f>'Data Sheet'!D42</f>
        <v>15707</v>
      </c>
      <c r="E4" s="1">
        <f>'Data Sheet'!E42</f>
        <v>15926</v>
      </c>
      <c r="F4" s="1">
        <f>'Data Sheet'!F42</f>
        <v>15556</v>
      </c>
      <c r="G4" s="1">
        <f>'Data Sheet'!G42</f>
        <v>15190</v>
      </c>
      <c r="H4" s="1">
        <f>'Data Sheet'!H42</f>
        <v>16514</v>
      </c>
      <c r="I4" s="1">
        <f>'Data Sheet'!I42</f>
        <v>15919</v>
      </c>
      <c r="J4" s="1">
        <f>'Data Sheet'!J42</f>
        <v>16441</v>
      </c>
      <c r="K4" s="1">
        <f>'Data Sheet'!K42</f>
        <v>16351</v>
      </c>
    </row>
    <row r="5" spans="1:11">
      <c r="A5" t="s">
        <v>6</v>
      </c>
      <c r="B5" s="3">
        <f>'Data Sheet'!B43</f>
        <v>11902</v>
      </c>
      <c r="C5" s="3">
        <f>'Data Sheet'!C43</f>
        <v>11675</v>
      </c>
      <c r="D5" s="3">
        <f>'Data Sheet'!D43</f>
        <v>11965</v>
      </c>
      <c r="E5" s="3">
        <f>'Data Sheet'!E43</f>
        <v>12139</v>
      </c>
      <c r="F5" s="3">
        <f>'Data Sheet'!F43</f>
        <v>11867</v>
      </c>
      <c r="G5" s="3">
        <f>'Data Sheet'!G43</f>
        <v>11572</v>
      </c>
      <c r="H5" s="3">
        <f>'Data Sheet'!H43</f>
        <v>12797</v>
      </c>
      <c r="I5" s="3">
        <f>'Data Sheet'!I43</f>
        <v>12137</v>
      </c>
      <c r="J5" s="3">
        <f>'Data Sheet'!J43</f>
        <v>12660</v>
      </c>
      <c r="K5" s="3">
        <f>'Data Sheet'!K43</f>
        <v>12514</v>
      </c>
    </row>
    <row r="6" s="8" customFormat="1" spans="1:11">
      <c r="A6" s="8" t="s">
        <v>7</v>
      </c>
      <c r="B6" s="1">
        <f>'Data Sheet'!B50</f>
        <v>3665</v>
      </c>
      <c r="C6" s="1">
        <f>'Data Sheet'!C50</f>
        <v>3535</v>
      </c>
      <c r="D6" s="1">
        <f>'Data Sheet'!D50</f>
        <v>3742</v>
      </c>
      <c r="E6" s="1">
        <f>'Data Sheet'!E50</f>
        <v>3787</v>
      </c>
      <c r="F6" s="1">
        <f>'Data Sheet'!F50</f>
        <v>3689</v>
      </c>
      <c r="G6" s="1">
        <f>'Data Sheet'!G50</f>
        <v>3618</v>
      </c>
      <c r="H6" s="1">
        <f>'Data Sheet'!H50</f>
        <v>3717</v>
      </c>
      <c r="I6" s="1">
        <f>'Data Sheet'!I50</f>
        <v>3782</v>
      </c>
      <c r="J6" s="1">
        <f>'Data Sheet'!J50</f>
        <v>3781</v>
      </c>
      <c r="K6" s="1">
        <f>'Data Sheet'!K50</f>
        <v>3837</v>
      </c>
    </row>
    <row r="7" spans="1:11">
      <c r="A7" t="s">
        <v>8</v>
      </c>
      <c r="B7" s="3">
        <f>'Data Sheet'!B44</f>
        <v>184</v>
      </c>
      <c r="C7" s="3">
        <f>'Data Sheet'!C44</f>
        <v>309</v>
      </c>
      <c r="D7" s="3">
        <f>'Data Sheet'!D44</f>
        <v>209</v>
      </c>
      <c r="E7" s="3">
        <f>'Data Sheet'!E44</f>
        <v>203</v>
      </c>
      <c r="F7" s="3">
        <f>'Data Sheet'!F44</f>
        <v>733</v>
      </c>
      <c r="G7" s="3">
        <f>'Data Sheet'!G44</f>
        <v>149</v>
      </c>
      <c r="H7" s="3">
        <f>'Data Sheet'!H44</f>
        <v>74</v>
      </c>
      <c r="I7" s="3">
        <f>'Data Sheet'!I44</f>
        <v>269</v>
      </c>
      <c r="J7" s="3">
        <f>'Data Sheet'!J44</f>
        <v>4048</v>
      </c>
      <c r="K7" s="3">
        <f>'Data Sheet'!K44</f>
        <v>503</v>
      </c>
    </row>
    <row r="8" spans="1:11">
      <c r="A8" t="s">
        <v>9</v>
      </c>
      <c r="B8" s="3">
        <f>'Data Sheet'!B45</f>
        <v>313</v>
      </c>
      <c r="C8" s="3">
        <f>'Data Sheet'!C45</f>
        <v>320</v>
      </c>
      <c r="D8" s="3">
        <f>'Data Sheet'!D45</f>
        <v>329</v>
      </c>
      <c r="E8" s="3">
        <f>'Data Sheet'!E45</f>
        <v>338</v>
      </c>
      <c r="F8" s="3">
        <f>'Data Sheet'!F45</f>
        <v>318</v>
      </c>
      <c r="G8" s="3">
        <f>'Data Sheet'!G45</f>
        <v>318</v>
      </c>
      <c r="H8" s="3">
        <f>'Data Sheet'!H45</f>
        <v>361</v>
      </c>
      <c r="I8" s="3">
        <f>'Data Sheet'!I45</f>
        <v>322</v>
      </c>
      <c r="J8" s="3">
        <f>'Data Sheet'!J45</f>
        <v>337</v>
      </c>
      <c r="K8" s="3">
        <f>'Data Sheet'!K45</f>
        <v>348</v>
      </c>
    </row>
    <row r="9" spans="1:11">
      <c r="A9" t="s">
        <v>10</v>
      </c>
      <c r="B9" s="3">
        <f>'Data Sheet'!B46</f>
        <v>91</v>
      </c>
      <c r="C9" s="3">
        <f>'Data Sheet'!C46</f>
        <v>105</v>
      </c>
      <c r="D9" s="3">
        <f>'Data Sheet'!D46</f>
        <v>93</v>
      </c>
      <c r="E9" s="3">
        <f>'Data Sheet'!E46</f>
        <v>110</v>
      </c>
      <c r="F9" s="3">
        <f>'Data Sheet'!F46</f>
        <v>109</v>
      </c>
      <c r="G9" s="3">
        <f>'Data Sheet'!G46</f>
        <v>77</v>
      </c>
      <c r="H9" s="3">
        <f>'Data Sheet'!H46</f>
        <v>127</v>
      </c>
      <c r="I9" s="3">
        <f>'Data Sheet'!I46</f>
        <v>124</v>
      </c>
      <c r="J9" s="3">
        <f>'Data Sheet'!J46</f>
        <v>88</v>
      </c>
      <c r="K9" s="3">
        <f>'Data Sheet'!K46</f>
        <v>76</v>
      </c>
    </row>
    <row r="10" spans="1:11">
      <c r="A10" t="s">
        <v>11</v>
      </c>
      <c r="B10" s="3">
        <f>'Data Sheet'!B47</f>
        <v>3445</v>
      </c>
      <c r="C10" s="3">
        <f>'Data Sheet'!C47</f>
        <v>3419</v>
      </c>
      <c r="D10" s="3">
        <f>'Data Sheet'!D47</f>
        <v>3529</v>
      </c>
      <c r="E10" s="3">
        <f>'Data Sheet'!E47</f>
        <v>3542</v>
      </c>
      <c r="F10" s="3">
        <f>'Data Sheet'!F47</f>
        <v>3995</v>
      </c>
      <c r="G10" s="3">
        <f>'Data Sheet'!G47</f>
        <v>3372</v>
      </c>
      <c r="H10" s="3">
        <f>'Data Sheet'!H47</f>
        <v>3303</v>
      </c>
      <c r="I10" s="3">
        <f>'Data Sheet'!I47</f>
        <v>3605</v>
      </c>
      <c r="J10" s="3">
        <f>'Data Sheet'!J47</f>
        <v>7404</v>
      </c>
      <c r="K10" s="3">
        <f>'Data Sheet'!K47</f>
        <v>3916</v>
      </c>
    </row>
    <row r="11" spans="1:11">
      <c r="A11" t="s">
        <v>12</v>
      </c>
      <c r="B11" s="3">
        <f>'Data Sheet'!B48</f>
        <v>937</v>
      </c>
      <c r="C11" s="3">
        <f>'Data Sheet'!C48</f>
        <v>858</v>
      </c>
      <c r="D11" s="3">
        <f>'Data Sheet'!D48</f>
        <v>917</v>
      </c>
      <c r="E11" s="3">
        <f>'Data Sheet'!E48</f>
        <v>947</v>
      </c>
      <c r="F11" s="3">
        <f>'Data Sheet'!F48</f>
        <v>1006</v>
      </c>
      <c r="G11" s="3">
        <f>'Data Sheet'!G48</f>
        <v>897</v>
      </c>
      <c r="H11" s="3">
        <f>'Data Sheet'!H48</f>
        <v>535</v>
      </c>
      <c r="I11" s="3">
        <f>'Data Sheet'!I48</f>
        <v>911</v>
      </c>
      <c r="J11" s="3">
        <f>'Data Sheet'!J48</f>
        <v>801</v>
      </c>
      <c r="K11" s="3">
        <f>'Data Sheet'!K48</f>
        <v>922</v>
      </c>
    </row>
    <row r="12" s="8" customFormat="1" spans="1:11">
      <c r="A12" s="8" t="s">
        <v>13</v>
      </c>
      <c r="B12" s="1">
        <f>'Data Sheet'!B49</f>
        <v>2509</v>
      </c>
      <c r="C12" s="1">
        <f>'Data Sheet'!C49</f>
        <v>2558</v>
      </c>
      <c r="D12" s="1">
        <f>'Data Sheet'!D49</f>
        <v>2610</v>
      </c>
      <c r="E12" s="1">
        <f>'Data Sheet'!E49</f>
        <v>2591</v>
      </c>
      <c r="F12" s="1">
        <f>'Data Sheet'!F49</f>
        <v>2984</v>
      </c>
      <c r="G12" s="1">
        <f>'Data Sheet'!G49</f>
        <v>2464</v>
      </c>
      <c r="H12" s="1">
        <f>'Data Sheet'!H49</f>
        <v>2756</v>
      </c>
      <c r="I12" s="1">
        <f>'Data Sheet'!I49</f>
        <v>2685</v>
      </c>
      <c r="J12" s="1">
        <f>'Data Sheet'!J49</f>
        <v>6607</v>
      </c>
      <c r="K12" s="1">
        <f>'Data Sheet'!K49</f>
        <v>2992</v>
      </c>
    </row>
    <row r="14" s="8" customFormat="1" spans="1:11">
      <c r="A14" s="8" t="s">
        <v>19</v>
      </c>
      <c r="B14" s="16">
        <f t="shared" ref="B14:K14" si="0">IF(B4&gt;0,B6/B4,"")</f>
        <v>0.235433930750948</v>
      </c>
      <c r="C14" s="16">
        <f t="shared" si="0"/>
        <v>0.23241288625904</v>
      </c>
      <c r="D14" s="16">
        <f t="shared" si="0"/>
        <v>0.23823772840135</v>
      </c>
      <c r="E14" s="16">
        <f t="shared" si="0"/>
        <v>0.237787266105739</v>
      </c>
      <c r="F14" s="16">
        <f t="shared" si="0"/>
        <v>0.237143224479301</v>
      </c>
      <c r="G14" s="16">
        <f t="shared" si="0"/>
        <v>0.23818301514154</v>
      </c>
      <c r="H14" s="16">
        <f t="shared" si="0"/>
        <v>0.225081748819184</v>
      </c>
      <c r="I14" s="16">
        <f t="shared" si="0"/>
        <v>0.237577737295056</v>
      </c>
      <c r="J14" s="16">
        <f t="shared" si="0"/>
        <v>0.229973845873122</v>
      </c>
      <c r="K14" s="16">
        <f t="shared" si="0"/>
        <v>0.234664546510917</v>
      </c>
    </row>
    <row r="22" s="17" customFormat="1"/>
  </sheetData>
  <hyperlinks>
    <hyperlink ref="J1" r:id="rId2" display="SCREENER.IN"/>
  </hyperlinks>
  <printOptions gridLines="1"/>
  <pageMargins left="0.7" right="0.7" top="0.75" bottom="0.75" header="0.3" footer="0.3"/>
  <pageSetup paperSize="9" scale="83" orientation="landscape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K24"/>
  <sheetViews>
    <sheetView zoomScale="125" zoomScaleNormal="125" workbookViewId="0">
      <pane xSplit="1" ySplit="3" topLeftCell="E19" activePane="bottomRight" state="frozen"/>
      <selection/>
      <selection pane="topRight"/>
      <selection pane="bottomLeft"/>
      <selection pane="bottomRight" activeCell="G10" sqref="G10"/>
    </sheetView>
  </sheetViews>
  <sheetFormatPr defaultColWidth="8.81818181818182" defaultRowHeight="14.5"/>
  <cols>
    <col min="1" max="1" width="22.8181818181818" customWidth="1"/>
    <col min="2" max="2" width="13.4545454545455" customWidth="1"/>
    <col min="3" max="11" width="15.4545454545455" customWidth="1"/>
    <col min="12" max="16384" width="8.81818181818182" customWidth="1"/>
  </cols>
  <sheetData>
    <row r="1" s="8" customFormat="1" spans="1:11">
      <c r="A1" s="8" t="str">
        <f>'Profit &amp; Loss'!A1</f>
        <v>HINDUSTAN UNILEVER LTD</v>
      </c>
      <c r="E1" t="str">
        <f>UPDATE</f>
        <v/>
      </c>
      <c r="J1" s="8" t="s">
        <v>0</v>
      </c>
    </row>
    <row r="2" spans="1:11">
      <c r="G2" s="8"/>
      <c r="H2" s="8"/>
    </row>
    <row r="3" spans="1:11">
      <c r="A3" s="13" t="s">
        <v>1</v>
      </c>
      <c r="B3" s="7">
        <f>'Data Sheet'!B56</f>
        <v>42825</v>
      </c>
      <c r="C3" s="7">
        <f>'Data Sheet'!C56</f>
        <v>43190</v>
      </c>
      <c r="D3" s="7">
        <f>'Data Sheet'!D56</f>
        <v>43555</v>
      </c>
      <c r="E3" s="7">
        <f>'Data Sheet'!E56</f>
        <v>43921</v>
      </c>
      <c r="F3" s="7">
        <f>'Data Sheet'!F56</f>
        <v>44286</v>
      </c>
      <c r="G3" s="7">
        <f>'Data Sheet'!G56</f>
        <v>44651</v>
      </c>
      <c r="H3" s="7">
        <f>'Data Sheet'!H56</f>
        <v>45016</v>
      </c>
      <c r="I3" s="7">
        <f>'Data Sheet'!I56</f>
        <v>45382</v>
      </c>
      <c r="J3" s="7">
        <f>'Data Sheet'!J56</f>
        <v>45747</v>
      </c>
      <c r="K3" s="7">
        <f>'Data Sheet'!K56</f>
        <v>46112</v>
      </c>
    </row>
    <row r="4" spans="1:11">
      <c r="A4" t="s">
        <v>73</v>
      </c>
      <c r="B4" s="14">
        <f>'Data Sheet'!B57</f>
        <v>216</v>
      </c>
      <c r="C4" s="14">
        <f>'Data Sheet'!C57</f>
        <v>216</v>
      </c>
      <c r="D4" s="14">
        <f>'Data Sheet'!D57</f>
        <v>216</v>
      </c>
      <c r="E4" s="14">
        <f>'Data Sheet'!E57</f>
        <v>216</v>
      </c>
      <c r="F4" s="14">
        <f>'Data Sheet'!F57</f>
        <v>235</v>
      </c>
      <c r="G4" s="14">
        <f>'Data Sheet'!G57</f>
        <v>235</v>
      </c>
      <c r="H4" s="14">
        <f>'Data Sheet'!H57</f>
        <v>235</v>
      </c>
      <c r="I4" s="14">
        <f>'Data Sheet'!I57</f>
        <v>235</v>
      </c>
      <c r="J4" s="14">
        <f>'Data Sheet'!J57</f>
        <v>235</v>
      </c>
      <c r="K4" s="14">
        <f>'Data Sheet'!K57</f>
        <v>235</v>
      </c>
    </row>
    <row r="5" spans="1:11">
      <c r="A5" t="s">
        <v>74</v>
      </c>
      <c r="B5" s="14">
        <f>'Data Sheet'!B58</f>
        <v>6528</v>
      </c>
      <c r="C5" s="14">
        <f>'Data Sheet'!C58</f>
        <v>7065</v>
      </c>
      <c r="D5" s="14">
        <f>'Data Sheet'!D58</f>
        <v>7651</v>
      </c>
      <c r="E5" s="14">
        <f>'Data Sheet'!E58</f>
        <v>8013</v>
      </c>
      <c r="F5" s="14">
        <f>'Data Sheet'!F58</f>
        <v>47439</v>
      </c>
      <c r="G5" s="14">
        <f>'Data Sheet'!G58</f>
        <v>48826</v>
      </c>
      <c r="H5" s="14">
        <f>'Data Sheet'!H58</f>
        <v>50069</v>
      </c>
      <c r="I5" s="14">
        <f>'Data Sheet'!I58</f>
        <v>50983</v>
      </c>
      <c r="J5" s="14">
        <f>'Data Sheet'!J58</f>
        <v>49167</v>
      </c>
      <c r="K5" s="14">
        <f>'Data Sheet'!K58</f>
        <v>48504</v>
      </c>
    </row>
    <row r="6" spans="1:11">
      <c r="A6" t="s">
        <v>75</v>
      </c>
      <c r="B6" s="14">
        <f>'Data Sheet'!B59</f>
        <v>277</v>
      </c>
      <c r="C6" s="14">
        <f>'Data Sheet'!C59</f>
        <v>0</v>
      </c>
      <c r="D6" s="14">
        <f>'Data Sheet'!D59</f>
        <v>99</v>
      </c>
      <c r="E6" s="14">
        <f>'Data Sheet'!E59</f>
        <v>0</v>
      </c>
      <c r="F6" s="14">
        <f>'Data Sheet'!F59</f>
        <v>0</v>
      </c>
      <c r="G6" s="14">
        <f>'Data Sheet'!G59</f>
        <v>1043</v>
      </c>
      <c r="H6" s="14">
        <f>'Data Sheet'!H59</f>
        <v>1219</v>
      </c>
      <c r="I6" s="14">
        <f>'Data Sheet'!I59</f>
        <v>1484</v>
      </c>
      <c r="J6" s="14">
        <f>'Data Sheet'!J59</f>
        <v>1648</v>
      </c>
      <c r="K6" s="14">
        <f>'Data Sheet'!K59</f>
        <v>1478</v>
      </c>
    </row>
    <row r="7" spans="1:11">
      <c r="A7" t="s">
        <v>76</v>
      </c>
      <c r="B7" s="14">
        <f>'Data Sheet'!B60</f>
        <v>8685</v>
      </c>
      <c r="C7" s="14">
        <f>'Data Sheet'!C60</f>
        <v>10581</v>
      </c>
      <c r="D7" s="14">
        <f>'Data Sheet'!D60</f>
        <v>10663</v>
      </c>
      <c r="E7" s="14">
        <f>'Data Sheet'!E60</f>
        <v>11924</v>
      </c>
      <c r="F7" s="14">
        <f>'Data Sheet'!F60</f>
        <v>21066</v>
      </c>
      <c r="G7" s="14">
        <f>'Data Sheet'!G60</f>
        <v>20402</v>
      </c>
      <c r="H7" s="14">
        <f>'Data Sheet'!H60</f>
        <v>21554</v>
      </c>
      <c r="I7" s="14">
        <f>'Data Sheet'!I60</f>
        <v>25787</v>
      </c>
      <c r="J7" s="14">
        <f>'Data Sheet'!J60</f>
        <v>28813</v>
      </c>
      <c r="K7" s="14">
        <f>'Data Sheet'!K60</f>
        <v>29535</v>
      </c>
    </row>
    <row r="8" s="8" customFormat="1" spans="1:11">
      <c r="A8" s="8" t="s">
        <v>77</v>
      </c>
      <c r="B8" s="15">
        <f>'Data Sheet'!B61</f>
        <v>15706</v>
      </c>
      <c r="C8" s="15">
        <f>'Data Sheet'!C61</f>
        <v>17862</v>
      </c>
      <c r="D8" s="15">
        <f>'Data Sheet'!D61</f>
        <v>18629</v>
      </c>
      <c r="E8" s="15">
        <f>'Data Sheet'!E61</f>
        <v>20153</v>
      </c>
      <c r="F8" s="15">
        <f>'Data Sheet'!F61</f>
        <v>68740</v>
      </c>
      <c r="G8" s="15">
        <f>'Data Sheet'!G61</f>
        <v>70506</v>
      </c>
      <c r="H8" s="15">
        <f>'Data Sheet'!H61</f>
        <v>73077</v>
      </c>
      <c r="I8" s="15">
        <f>'Data Sheet'!I61</f>
        <v>78489</v>
      </c>
      <c r="J8" s="15">
        <f>'Data Sheet'!J61</f>
        <v>79863</v>
      </c>
      <c r="K8" s="15">
        <f>'Data Sheet'!K61</f>
        <v>79752</v>
      </c>
    </row>
    <row r="9" s="8" customFormat="1" spans="1:11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>
      <c r="A10" t="s">
        <v>78</v>
      </c>
      <c r="B10" s="14">
        <f>'Data Sheet'!B62</f>
        <v>4419</v>
      </c>
      <c r="C10" s="14">
        <f>'Data Sheet'!C62</f>
        <v>4528</v>
      </c>
      <c r="D10" s="14">
        <f>'Data Sheet'!D62</f>
        <v>4715</v>
      </c>
      <c r="E10" s="14">
        <f>'Data Sheet'!E62</f>
        <v>5479</v>
      </c>
      <c r="F10" s="14">
        <f>'Data Sheet'!F62</f>
        <v>51443</v>
      </c>
      <c r="G10" s="14">
        <f>'Data Sheet'!G62</f>
        <v>51473</v>
      </c>
      <c r="H10" s="14">
        <f>'Data Sheet'!H62</f>
        <v>52678</v>
      </c>
      <c r="I10" s="14">
        <f>'Data Sheet'!I62</f>
        <v>53744</v>
      </c>
      <c r="J10" s="14">
        <f>'Data Sheet'!J62</f>
        <v>54335</v>
      </c>
      <c r="K10" s="14">
        <f>'Data Sheet'!K62</f>
        <v>57428</v>
      </c>
    </row>
    <row r="11" spans="1:11">
      <c r="A11" t="s">
        <v>79</v>
      </c>
      <c r="B11" s="14">
        <f>'Data Sheet'!B63</f>
        <v>229</v>
      </c>
      <c r="C11" s="14">
        <f>'Data Sheet'!C63</f>
        <v>461</v>
      </c>
      <c r="D11" s="14">
        <f>'Data Sheet'!D63</f>
        <v>406</v>
      </c>
      <c r="E11" s="14">
        <f>'Data Sheet'!E63</f>
        <v>597</v>
      </c>
      <c r="F11" s="14">
        <f>'Data Sheet'!F63</f>
        <v>745</v>
      </c>
      <c r="G11" s="14">
        <f>'Data Sheet'!G63</f>
        <v>1313</v>
      </c>
      <c r="H11" s="14">
        <f>'Data Sheet'!H63</f>
        <v>1132</v>
      </c>
      <c r="I11" s="14">
        <f>'Data Sheet'!I63</f>
        <v>1025</v>
      </c>
      <c r="J11" s="14">
        <f>'Data Sheet'!J63</f>
        <v>1009</v>
      </c>
      <c r="K11" s="14">
        <f>'Data Sheet'!K63</f>
        <v>880</v>
      </c>
    </row>
    <row r="12" spans="1:11">
      <c r="A12" t="s">
        <v>80</v>
      </c>
      <c r="B12" s="14">
        <f>'Data Sheet'!B64</f>
        <v>3794</v>
      </c>
      <c r="C12" s="14">
        <f>'Data Sheet'!C64</f>
        <v>2873</v>
      </c>
      <c r="D12" s="14">
        <f>'Data Sheet'!D64</f>
        <v>2716</v>
      </c>
      <c r="E12" s="14">
        <f>'Data Sheet'!E64</f>
        <v>1255</v>
      </c>
      <c r="F12" s="14">
        <f>'Data Sheet'!F64</f>
        <v>2709</v>
      </c>
      <c r="G12" s="14">
        <f>'Data Sheet'!G64</f>
        <v>3521</v>
      </c>
      <c r="H12" s="14">
        <f>'Data Sheet'!H64</f>
        <v>2882</v>
      </c>
      <c r="I12" s="14">
        <f>'Data Sheet'!I64</f>
        <v>4625</v>
      </c>
      <c r="J12" s="14">
        <f>'Data Sheet'!J64</f>
        <v>3810</v>
      </c>
      <c r="K12" s="14">
        <f>'Data Sheet'!K64</f>
        <v>4359</v>
      </c>
    </row>
    <row r="13" spans="1:11">
      <c r="A13" t="s">
        <v>81</v>
      </c>
      <c r="B13" s="14">
        <f>'Data Sheet'!B65</f>
        <v>7264</v>
      </c>
      <c r="C13" s="14">
        <f>'Data Sheet'!C65</f>
        <v>10000</v>
      </c>
      <c r="D13" s="14">
        <f>'Data Sheet'!D65</f>
        <v>10792</v>
      </c>
      <c r="E13" s="14">
        <f>'Data Sheet'!E65</f>
        <v>12822</v>
      </c>
      <c r="F13" s="14">
        <f>'Data Sheet'!F65</f>
        <v>13843</v>
      </c>
      <c r="G13" s="14">
        <f>'Data Sheet'!G65</f>
        <v>14199</v>
      </c>
      <c r="H13" s="14">
        <f>'Data Sheet'!H65</f>
        <v>16385</v>
      </c>
      <c r="I13" s="14">
        <f>'Data Sheet'!I65</f>
        <v>19095</v>
      </c>
      <c r="J13" s="14">
        <f>'Data Sheet'!J65</f>
        <v>20709</v>
      </c>
      <c r="K13" s="14">
        <f>'Data Sheet'!K65</f>
        <v>17085</v>
      </c>
    </row>
    <row r="14" s="8" customFormat="1" spans="1:11">
      <c r="A14" s="8" t="s">
        <v>77</v>
      </c>
      <c r="B14" s="14">
        <f>'Data Sheet'!B66</f>
        <v>15706</v>
      </c>
      <c r="C14" s="14">
        <f>'Data Sheet'!C66</f>
        <v>17862</v>
      </c>
      <c r="D14" s="14">
        <f>'Data Sheet'!D66</f>
        <v>18629</v>
      </c>
      <c r="E14" s="14">
        <f>'Data Sheet'!E66</f>
        <v>20153</v>
      </c>
      <c r="F14" s="14">
        <f>'Data Sheet'!F66</f>
        <v>68740</v>
      </c>
      <c r="G14" s="14">
        <f>'Data Sheet'!G66</f>
        <v>70506</v>
      </c>
      <c r="H14" s="14">
        <f>'Data Sheet'!H66</f>
        <v>73077</v>
      </c>
      <c r="I14" s="14">
        <f>'Data Sheet'!I66</f>
        <v>78489</v>
      </c>
      <c r="J14" s="14">
        <f>'Data Sheet'!J66</f>
        <v>79863</v>
      </c>
      <c r="K14" s="14">
        <f>'Data Sheet'!K66</f>
        <v>79752</v>
      </c>
    </row>
    <row r="15" spans="1:11"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t="s">
        <v>82</v>
      </c>
      <c r="B16" s="3">
        <f t="shared" ref="B16:K16" si="0">B13-B7</f>
        <v>-1421</v>
      </c>
      <c r="C16" s="3">
        <f t="shared" si="0"/>
        <v>-581</v>
      </c>
      <c r="D16" s="3">
        <f t="shared" si="0"/>
        <v>129</v>
      </c>
      <c r="E16" s="3">
        <f t="shared" si="0"/>
        <v>898</v>
      </c>
      <c r="F16" s="3">
        <f t="shared" si="0"/>
        <v>-7223</v>
      </c>
      <c r="G16" s="3">
        <f t="shared" si="0"/>
        <v>-6203</v>
      </c>
      <c r="H16" s="3">
        <f t="shared" si="0"/>
        <v>-5169</v>
      </c>
      <c r="I16" s="3">
        <f t="shared" si="0"/>
        <v>-6692</v>
      </c>
      <c r="J16" s="3">
        <f t="shared" si="0"/>
        <v>-8104</v>
      </c>
      <c r="K16" s="3">
        <f t="shared" si="0"/>
        <v>-12450</v>
      </c>
    </row>
    <row r="17" spans="1:11">
      <c r="A17" t="s">
        <v>83</v>
      </c>
      <c r="B17" s="3">
        <f>'Data Sheet'!B67</f>
        <v>1085</v>
      </c>
      <c r="C17" s="3">
        <f>'Data Sheet'!C67</f>
        <v>1310</v>
      </c>
      <c r="D17" s="3">
        <f>'Data Sheet'!D67</f>
        <v>1816</v>
      </c>
      <c r="E17" s="3">
        <f>'Data Sheet'!E67</f>
        <v>1149</v>
      </c>
      <c r="F17" s="3">
        <f>'Data Sheet'!F67</f>
        <v>1758</v>
      </c>
      <c r="G17" s="3">
        <f>'Data Sheet'!G67</f>
        <v>2236</v>
      </c>
      <c r="H17" s="3">
        <f>'Data Sheet'!H67</f>
        <v>3079</v>
      </c>
      <c r="I17" s="3">
        <f>'Data Sheet'!I67</f>
        <v>2997</v>
      </c>
      <c r="J17" s="3">
        <f>'Data Sheet'!J67</f>
        <v>3819</v>
      </c>
      <c r="K17" s="3">
        <f>'Data Sheet'!K67</f>
        <v>3379</v>
      </c>
    </row>
    <row r="18" spans="1:11">
      <c r="A18" t="s">
        <v>84</v>
      </c>
      <c r="B18" s="3">
        <f>'Data Sheet'!B68</f>
        <v>2541</v>
      </c>
      <c r="C18" s="3">
        <f>'Data Sheet'!C68</f>
        <v>2513</v>
      </c>
      <c r="D18" s="3">
        <f>'Data Sheet'!D68</f>
        <v>2574</v>
      </c>
      <c r="E18" s="3">
        <f>'Data Sheet'!E68</f>
        <v>2767</v>
      </c>
      <c r="F18" s="3">
        <f>'Data Sheet'!F68</f>
        <v>3579</v>
      </c>
      <c r="G18" s="3">
        <f>'Data Sheet'!G68</f>
        <v>4096</v>
      </c>
      <c r="H18" s="3">
        <f>'Data Sheet'!H68</f>
        <v>4251</v>
      </c>
      <c r="I18" s="3">
        <f>'Data Sheet'!I68</f>
        <v>4022</v>
      </c>
      <c r="J18" s="3">
        <f>'Data Sheet'!J68</f>
        <v>4415</v>
      </c>
      <c r="K18" s="3">
        <f>'Data Sheet'!K68</f>
        <v>4789</v>
      </c>
    </row>
    <row r="20" spans="1:11">
      <c r="A20" t="s">
        <v>85</v>
      </c>
      <c r="B20" s="3">
        <f>IF('Profit &amp; Loss'!B4&gt;0,'Balance Sheet'!B17/('Profit &amp; Loss'!B4/365),0)</f>
        <v>11.9421325613654</v>
      </c>
      <c r="C20" s="3">
        <f>IF('Profit &amp; Loss'!C4&gt;0,'Balance Sheet'!C17/('Profit &amp; Loss'!C4/365),0)</f>
        <v>13.4519623013082</v>
      </c>
      <c r="D20" s="3">
        <f>IF('Profit &amp; Loss'!D4&gt;0,'Balance Sheet'!D17/('Profit &amp; Loss'!D4/365),0)</f>
        <v>16.8618672093615</v>
      </c>
      <c r="E20" s="3">
        <f>IF('Profit &amp; Loss'!E4&gt;0,'Balance Sheet'!E17/('Profit &amp; Loss'!E4/365),0)</f>
        <v>10.5418143428097</v>
      </c>
      <c r="F20" s="3">
        <f>IF('Profit &amp; Loss'!F4&gt;0,'Balance Sheet'!F17/('Profit &amp; Loss'!F4/365),0)</f>
        <v>13.6444245981118</v>
      </c>
      <c r="G20" s="3">
        <f>IF('Profit &amp; Loss'!G4&gt;0,'Balance Sheet'!G17/('Profit &amp; Loss'!G4/365),0)</f>
        <v>15.56152995462</v>
      </c>
      <c r="H20" s="3">
        <f>IF('Profit &amp; Loss'!H4&gt;0,'Balance Sheet'!H17/('Profit &amp; Loss'!H4/365),0)</f>
        <v>18.551254539452</v>
      </c>
      <c r="I20" s="3">
        <f>IF('Profit &amp; Loss'!I4&gt;0,'Balance Sheet'!I17/('Profit &amp; Loss'!I4/365),0)</f>
        <v>17.6732745250097</v>
      </c>
      <c r="J20" s="3">
        <f>IF('Profit &amp; Loss'!J4&gt;0,'Balance Sheet'!J17/('Profit &amp; Loss'!J4/365),0)</f>
        <v>22.0835379667623</v>
      </c>
      <c r="K20" s="3">
        <f>IF('Profit &amp; Loss'!K4&gt;0,'Balance Sheet'!K17/('Profit &amp; Loss'!K4/365),0)</f>
        <v>19.1309641992927</v>
      </c>
    </row>
    <row r="21" spans="1:11">
      <c r="A21" t="s">
        <v>86</v>
      </c>
      <c r="B21" s="3">
        <f>IF('Balance Sheet'!B18&gt;0,'Profit &amp; Loss'!B4/'Balance Sheet'!B18,0)</f>
        <v>13.0507674144038</v>
      </c>
      <c r="C21" s="3">
        <f>IF('Balance Sheet'!C18&gt;0,'Profit &amp; Loss'!C4/'Balance Sheet'!C18,0)</f>
        <v>14.1444488658973</v>
      </c>
      <c r="D21" s="3">
        <f>IF('Balance Sheet'!D18&gt;0,'Profit &amp; Loss'!D4/'Balance Sheet'!D18,0)</f>
        <v>15.2719502719503</v>
      </c>
      <c r="E21" s="3">
        <f>IF('Balance Sheet'!E18&gt;0,'Profit &amp; Loss'!E4/'Balance Sheet'!E18,0)</f>
        <v>14.3776653415251</v>
      </c>
      <c r="F21" s="3">
        <f>IF('Balance Sheet'!F18&gt;0,'Profit &amp; Loss'!F4/'Balance Sheet'!F18,0)</f>
        <v>13.1399832355407</v>
      </c>
      <c r="G21" s="3">
        <f>IF('Balance Sheet'!G18&gt;0,'Profit &amp; Loss'!G4/'Balance Sheet'!G18,0)</f>
        <v>12.80419921875</v>
      </c>
      <c r="H21" s="3">
        <f>IF('Balance Sheet'!H18&gt;0,'Profit &amp; Loss'!H4/'Balance Sheet'!H18,0)</f>
        <v>14.2507645259939</v>
      </c>
      <c r="I21" s="3">
        <f>IF('Balance Sheet'!I18&gt;0,'Profit &amp; Loss'!I4/'Balance Sheet'!I18,0)</f>
        <v>15.3893585280955</v>
      </c>
      <c r="J21" s="3">
        <f>IF('Balance Sheet'!J18&gt;0,'Profit &amp; Loss'!J4/'Balance Sheet'!J18,0)</f>
        <v>14.2969422423556</v>
      </c>
      <c r="K21" s="3">
        <f>IF('Balance Sheet'!K18&gt;0,'Profit &amp; Loss'!K4/'Balance Sheet'!K18,0)</f>
        <v>13.4616830235957</v>
      </c>
    </row>
    <row r="23" s="8" customFormat="1" spans="1:11">
      <c r="A23" s="8" t="s">
        <v>87</v>
      </c>
      <c r="B23" s="16">
        <f>IF(SUM('Balance Sheet'!B4:B5)&gt;0,'Profit &amp; Loss'!B12/SUM('Balance Sheet'!B4:B5),"")</f>
        <v>0.663701067615658</v>
      </c>
      <c r="C23" s="16">
        <f>IF(SUM('Balance Sheet'!C4:C5)&gt;0,'Profit &amp; Loss'!C12/SUM('Balance Sheet'!C4:C5),"")</f>
        <v>0.716110424392254</v>
      </c>
      <c r="D23" s="16">
        <f>IF(SUM('Balance Sheet'!D4:D5)&gt;0,'Profit &amp; Loss'!D12/SUM('Balance Sheet'!D4:D5),"")</f>
        <v>0.769543663404093</v>
      </c>
      <c r="E23" s="16">
        <f>IF(SUM('Balance Sheet'!E4:E5)&gt;0,'Profit &amp; Loss'!E12/SUM('Balance Sheet'!E4:E5),"")</f>
        <v>0.820026734718678</v>
      </c>
      <c r="F23" s="16">
        <f>IF(SUM('Balance Sheet'!F4:F5)&gt;0,'Profit &amp; Loss'!F12/SUM('Balance Sheet'!F4:F5),"")</f>
        <v>0.167701472500734</v>
      </c>
      <c r="G23" s="16">
        <f>IF(SUM('Balance Sheet'!G4:G5)&gt;0,'Profit &amp; Loss'!G12/SUM('Balance Sheet'!G4:G5),"")</f>
        <v>0.180978781516887</v>
      </c>
      <c r="H23" s="16">
        <f>IF(SUM('Balance Sheet'!H4:H5)&gt;0,'Profit &amp; Loss'!H12/SUM('Balance Sheet'!H4:H5),"")</f>
        <v>0.201176844783715</v>
      </c>
      <c r="I23" s="16">
        <f>IF(SUM('Balance Sheet'!I4:I5)&gt;0,'Profit &amp; Loss'!I12/SUM('Balance Sheet'!I4:I5),"")</f>
        <v>0.200652114490999</v>
      </c>
      <c r="J23" s="16">
        <f>IF(SUM('Balance Sheet'!J4:J5)&gt;0,'Profit &amp; Loss'!J12/SUM('Balance Sheet'!J4:J5),"")</f>
        <v>0.21555807457188</v>
      </c>
      <c r="K23" s="16">
        <f>IF(SUM('Balance Sheet'!K4:K5)&gt;0,'Profit &amp; Loss'!K12/SUM('Balance Sheet'!K4:K5),"")</f>
        <v>0.308582449373192</v>
      </c>
    </row>
    <row r="24" s="8" customFormat="1" spans="1:11">
      <c r="A24" s="8" t="s">
        <v>88</v>
      </c>
      <c r="B24" s="16"/>
      <c r="C24" s="16">
        <f>IF((B4+B5+B6+C4+C5+C6)&gt;0,('Profit &amp; Loss'!C10+'Profit &amp; Loss'!C9)*2/(B4+B5+B6+C4+C5+C6),"")</f>
        <v>1.02531114529436</v>
      </c>
      <c r="D24" s="16">
        <f>IF((C4+C5+C6+D4+D5+D6)&gt;0,('Profit &amp; Loss'!D10+'Profit &amp; Loss'!D9)*2/(C4+C5+C6+D4+D5+D6),"")</f>
        <v>1.13294418574146</v>
      </c>
      <c r="E24" s="16">
        <f>IF((D4+D5+D6+E4+E5+E6)&gt;0,('Profit &amp; Loss'!E10+'Profit &amp; Loss'!E9)*2/(D4+D5+D6+E4+E5+E6),"")</f>
        <v>1.14640321086755</v>
      </c>
      <c r="F24" s="16">
        <f>IF((E4+E5+E6+F4+F5+F6)&gt;0,('Profit &amp; Loss'!F10+'Profit &amp; Loss'!F9)*2/(E4+E5+E6+F4+F5+F6),"")</f>
        <v>0.383593009319715</v>
      </c>
      <c r="G24" s="16">
        <f>IF((F4+F5+F6+G4+G5+G6)&gt;0,('Profit &amp; Loss'!G10+'Profit &amp; Loss'!G9)*2/(F4+F5+F6+G4+G5+G6),"")</f>
        <v>0.245147170120068</v>
      </c>
      <c r="H24" s="16">
        <f>IF((G4+G5+G6+H4+H5+H6)&gt;0,('Profit &amp; Loss'!H10+'Profit &amp; Loss'!H9)*2/(G4+G5+G6+H4+H5+H6),"")</f>
        <v>0.264850876243518</v>
      </c>
      <c r="I24" s="16">
        <f>IF((H4+H5+H6+I4+I5+I6)&gt;0,('Profit &amp; Loss'!I10+'Profit &amp; Loss'!I9)*2/(H4+H5+H6+I4+I5+I6),"")</f>
        <v>0.273638762293116</v>
      </c>
      <c r="J24" s="16">
        <f>IF((I4+I5+I6+J4+J5+J6)&gt;0,('Profit &amp; Loss'!J10+'Profit &amp; Loss'!J9)*2/(I4+I5+I6+J4+J5+J6),"")</f>
        <v>0.285488472511373</v>
      </c>
      <c r="K24" s="16">
        <f>IF((J4+J5+J6+K4+K5+K6)&gt;0,('Profit &amp; Loss'!K10+'Profit &amp; Loss'!K9)*2/(J4+J5+J6+K4+K5+K6),"")</f>
        <v>0.367918472947752</v>
      </c>
    </row>
  </sheetData>
  <hyperlinks>
    <hyperlink ref="J1" r:id="rId1" display="SCREENER.IN"/>
  </hyperlinks>
  <printOptions gridLines="1"/>
  <pageMargins left="0.7" right="0.7" top="0.75" bottom="0.75" header="0.3" footer="0.3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/>
      <selection pane="topRight"/>
      <selection pane="bottomLeft"/>
      <selection pane="bottomRight" activeCell="K5" sqref="K5"/>
    </sheetView>
  </sheetViews>
  <sheetFormatPr defaultColWidth="8.81818181818182" defaultRowHeight="14.5" outlineLevelRow="7"/>
  <cols>
    <col min="1" max="1" width="26.8181818181818" customWidth="1"/>
    <col min="2" max="11" width="13.4545454545455" customWidth="1"/>
    <col min="12" max="16384" width="8.81818181818182" customWidth="1"/>
  </cols>
  <sheetData>
    <row r="1" s="8" customFormat="1" spans="1:11">
      <c r="A1" s="8" t="str">
        <f>'Balance Sheet'!A1</f>
        <v>HINDUSTAN UNILEVER LTD</v>
      </c>
      <c r="E1" t="str">
        <f>UPDATE</f>
        <v/>
      </c>
      <c r="J1" s="8" t="s">
        <v>0</v>
      </c>
    </row>
    <row r="3" s="8" customFormat="1" spans="1:11">
      <c r="A3" s="13" t="s">
        <v>1</v>
      </c>
      <c r="B3" s="7">
        <f>'Data Sheet'!B81</f>
        <v>42825</v>
      </c>
      <c r="C3" s="7">
        <f>'Data Sheet'!C81</f>
        <v>43190</v>
      </c>
      <c r="D3" s="7">
        <f>'Data Sheet'!D81</f>
        <v>43555</v>
      </c>
      <c r="E3" s="7">
        <f>'Data Sheet'!E81</f>
        <v>43921</v>
      </c>
      <c r="F3" s="7">
        <f>'Data Sheet'!F81</f>
        <v>44286</v>
      </c>
      <c r="G3" s="7">
        <f>'Data Sheet'!G81</f>
        <v>44651</v>
      </c>
      <c r="H3" s="7">
        <f>'Data Sheet'!H81</f>
        <v>45016</v>
      </c>
      <c r="I3" s="7">
        <f>'Data Sheet'!I81</f>
        <v>45382</v>
      </c>
      <c r="J3" s="7">
        <f>'Data Sheet'!J81</f>
        <v>45747</v>
      </c>
      <c r="K3" s="7">
        <f>'Data Sheet'!K81</f>
        <v>46112</v>
      </c>
    </row>
    <row r="4" s="8" customFormat="1" spans="1:11">
      <c r="A4" s="8" t="s">
        <v>89</v>
      </c>
      <c r="B4" s="1">
        <f>'Data Sheet'!B82</f>
        <v>5185</v>
      </c>
      <c r="C4" s="1">
        <f>'Data Sheet'!C82</f>
        <v>6059</v>
      </c>
      <c r="D4" s="1">
        <f>'Data Sheet'!D82</f>
        <v>5800</v>
      </c>
      <c r="E4" s="1">
        <f>'Data Sheet'!E82</f>
        <v>7623</v>
      </c>
      <c r="F4" s="1">
        <f>'Data Sheet'!F82</f>
        <v>9163</v>
      </c>
      <c r="G4" s="1">
        <f>'Data Sheet'!G82</f>
        <v>9048</v>
      </c>
      <c r="H4" s="1">
        <f>'Data Sheet'!H82</f>
        <v>9991</v>
      </c>
      <c r="I4" s="1">
        <f>'Data Sheet'!I82</f>
        <v>15469</v>
      </c>
      <c r="J4" s="1">
        <f>'Data Sheet'!J82</f>
        <v>11886</v>
      </c>
      <c r="K4" s="1">
        <f>'Data Sheet'!K82</f>
        <v>10999</v>
      </c>
    </row>
    <row r="5" spans="1:11">
      <c r="A5" t="s">
        <v>90</v>
      </c>
      <c r="B5" s="3">
        <f>'Data Sheet'!B83</f>
        <v>-1173</v>
      </c>
      <c r="C5" s="3">
        <f>'Data Sheet'!C83</f>
        <v>-1063</v>
      </c>
      <c r="D5" s="3">
        <f>'Data Sheet'!D83</f>
        <v>-438</v>
      </c>
      <c r="E5" s="3">
        <f>'Data Sheet'!E83</f>
        <v>1791</v>
      </c>
      <c r="F5" s="3">
        <f>'Data Sheet'!F83</f>
        <v>-1228</v>
      </c>
      <c r="G5" s="3">
        <f>'Data Sheet'!G83</f>
        <v>-1728</v>
      </c>
      <c r="H5" s="3">
        <f>'Data Sheet'!H83</f>
        <v>-1484</v>
      </c>
      <c r="I5" s="3">
        <f>'Data Sheet'!I83</f>
        <v>-5324</v>
      </c>
      <c r="J5" s="3">
        <f>'Data Sheet'!J83</f>
        <v>6473</v>
      </c>
      <c r="K5" s="3">
        <f>'Data Sheet'!K83</f>
        <v>-3684</v>
      </c>
    </row>
    <row r="6" spans="1:11">
      <c r="A6" t="s">
        <v>91</v>
      </c>
      <c r="B6" s="3">
        <f>'Data Sheet'!B84</f>
        <v>-4214</v>
      </c>
      <c r="C6" s="3">
        <f>'Data Sheet'!C84</f>
        <v>-4975</v>
      </c>
      <c r="D6" s="3">
        <f>'Data Sheet'!D84</f>
        <v>-5390</v>
      </c>
      <c r="E6" s="3">
        <f>'Data Sheet'!E84</f>
        <v>-6819</v>
      </c>
      <c r="F6" s="3">
        <f>'Data Sheet'!F84</f>
        <v>-9309</v>
      </c>
      <c r="G6" s="3">
        <f>'Data Sheet'!G84</f>
        <v>-8015</v>
      </c>
      <c r="H6" s="3">
        <f>'Data Sheet'!H84</f>
        <v>-8953</v>
      </c>
      <c r="I6" s="3">
        <f>'Data Sheet'!I84</f>
        <v>-10034</v>
      </c>
      <c r="J6" s="3">
        <f>'Data Sheet'!J84</f>
        <v>-13101</v>
      </c>
      <c r="K6" s="3">
        <f>'Data Sheet'!K84</f>
        <v>-10810</v>
      </c>
    </row>
    <row r="7" s="8" customFormat="1" spans="1:11">
      <c r="A7" s="8" t="s">
        <v>92</v>
      </c>
      <c r="B7" s="1">
        <f>'Data Sheet'!B85</f>
        <v>-202</v>
      </c>
      <c r="C7" s="1">
        <f>'Data Sheet'!C85</f>
        <v>21</v>
      </c>
      <c r="D7" s="1">
        <f>'Data Sheet'!D85</f>
        <v>-28</v>
      </c>
      <c r="E7" s="1">
        <f>'Data Sheet'!E85</f>
        <v>2595</v>
      </c>
      <c r="F7" s="1">
        <f>'Data Sheet'!F85</f>
        <v>-1374</v>
      </c>
      <c r="G7" s="1">
        <f>'Data Sheet'!G85</f>
        <v>-695</v>
      </c>
      <c r="H7" s="1">
        <f>'Data Sheet'!H85</f>
        <v>-446</v>
      </c>
      <c r="I7" s="1">
        <f>'Data Sheet'!I85</f>
        <v>111</v>
      </c>
      <c r="J7" s="1">
        <f>'Data Sheet'!J85</f>
        <v>5258</v>
      </c>
      <c r="K7" s="1">
        <f>'Data Sheet'!K85</f>
        <v>-3495</v>
      </c>
    </row>
    <row r="8" spans="1:11">
      <c r="B8" s="3"/>
      <c r="C8" s="3"/>
      <c r="D8" s="3"/>
      <c r="E8" s="3"/>
      <c r="F8" s="3"/>
      <c r="G8" s="3"/>
      <c r="H8" s="3"/>
      <c r="I8" s="3"/>
      <c r="J8" s="3"/>
      <c r="K8" s="3"/>
    </row>
  </sheetData>
  <hyperlinks>
    <hyperlink ref="J1" r:id="rId1" display="SCREENER.IN"/>
  </hyperlinks>
  <printOptions gridLines="1"/>
  <pageMargins left="0.7" right="0.7" top="0.75" bottom="0.75" header="0.3" footer="0.3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81818181818182" defaultRowHeight="14.5" outlineLevelCol="6"/>
  <cols>
    <col min="1" max="1" width="8.81818181818182" style="8" customWidth="1"/>
    <col min="2" max="2" width="10.4545454545455" customWidth="1"/>
    <col min="3" max="3" width="13.3636363636364" style="9" customWidth="1"/>
    <col min="4" max="5" width="8.81818181818182" customWidth="1"/>
    <col min="6" max="6" width="6.81818181818182" customWidth="1"/>
    <col min="7" max="16384" width="8.81818181818182" customWidth="1"/>
  </cols>
  <sheetData>
    <row r="1" ht="21" customHeight="1" spans="1:7">
      <c r="A1" s="10" t="s">
        <v>93</v>
      </c>
    </row>
    <row r="3" ht="15" customHeight="1" spans="1:7">
      <c r="A3" s="8" t="s">
        <v>94</v>
      </c>
    </row>
    <row r="4" spans="1:7">
      <c r="B4" t="s">
        <v>95</v>
      </c>
    </row>
    <row r="5" ht="15" customHeight="1" spans="1:7">
      <c r="B5" t="s">
        <v>96</v>
      </c>
    </row>
    <row r="7" ht="15" customHeight="1" spans="1:7">
      <c r="A7" s="8" t="s">
        <v>97</v>
      </c>
    </row>
    <row r="8" ht="15" customHeight="1" spans="1:7">
      <c r="B8" t="s">
        <v>98</v>
      </c>
      <c r="C8" s="11" t="s">
        <v>99</v>
      </c>
    </row>
    <row r="10" ht="15" customHeight="1" spans="1:7">
      <c r="A10" s="8" t="s">
        <v>100</v>
      </c>
    </row>
    <row r="11" ht="15" customHeight="1" spans="1:7">
      <c r="B11" t="s">
        <v>101</v>
      </c>
    </row>
    <row r="14" ht="15" customHeight="1" spans="1:7">
      <c r="A14" s="8" t="s">
        <v>102</v>
      </c>
    </row>
    <row r="15" ht="15" customHeight="1" spans="1:7">
      <c r="B15" t="s">
        <v>103</v>
      </c>
    </row>
    <row r="16" ht="15" customHeight="1" spans="1:7">
      <c r="B16" t="s">
        <v>104</v>
      </c>
      <c r="G16" s="12"/>
    </row>
  </sheetData>
  <hyperlinks>
    <hyperlink ref="C8" r:id="rId1" display=" https://www.screener.in/excel/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3"/>
  <sheetViews>
    <sheetView zoomScale="120" zoomScaleNormal="120" zoomScalePageLayoutView="120" workbookViewId="0">
      <pane xSplit="1" ySplit="1" topLeftCell="E89" activePane="bottomRight" state="frozen"/>
      <selection/>
      <selection pane="topRight"/>
      <selection pane="bottomLeft"/>
      <selection pane="bottomRight" activeCell="K93" sqref="K93"/>
    </sheetView>
  </sheetViews>
  <sheetFormatPr defaultColWidth="8.81818181818182" defaultRowHeight="14.5"/>
  <cols>
    <col min="1" max="1" width="27.6363636363636" style="3" customWidth="1"/>
    <col min="2" max="11" width="13.4545454545455" style="3" customWidth="1"/>
    <col min="12" max="16384" width="8.81818181818182" style="3" customWidth="1"/>
  </cols>
  <sheetData>
    <row r="1" s="1" customFormat="1" ht="15" customHeight="1" spans="1:11">
      <c r="A1" s="1" t="s">
        <v>105</v>
      </c>
      <c r="B1" s="1" t="s">
        <v>106</v>
      </c>
      <c r="E1" s="4" t="str">
        <f>IF(B2&lt;&gt;B3,"A NEW VERSION OF THE WORKSHEET IS AVAILABLE","")</f>
        <v/>
      </c>
    </row>
    <row r="2" ht="15" customHeight="1" spans="1:11">
      <c r="A2" s="1" t="s">
        <v>107</v>
      </c>
      <c r="B2" s="3">
        <v>2.1</v>
      </c>
      <c r="E2" s="5" t="s">
        <v>108</v>
      </c>
    </row>
    <row r="3" ht="15" customHeight="1" spans="1:11">
      <c r="A3" s="1" t="s">
        <v>109</v>
      </c>
      <c r="B3" s="3">
        <v>2.1</v>
      </c>
    </row>
    <row r="4" ht="15" customHeight="1" spans="1:11">
      <c r="A4" s="1"/>
    </row>
    <row r="5" ht="15" customHeight="1" spans="1:11">
      <c r="A5" s="1" t="s">
        <v>110</v>
      </c>
    </row>
    <row r="6" ht="15" customHeight="1" spans="1:11">
      <c r="A6" s="3" t="s">
        <v>111</v>
      </c>
      <c r="B6" s="3">
        <f>IF(B9&gt;0,B9/B8,0)</f>
        <v>234.959127717631</v>
      </c>
    </row>
    <row r="7" ht="15" customHeight="1" spans="1:11">
      <c r="A7" s="3" t="s">
        <v>112</v>
      </c>
      <c r="B7">
        <v>1</v>
      </c>
    </row>
    <row r="8" ht="15" customHeight="1" spans="1:11">
      <c r="A8" s="3" t="s">
        <v>113</v>
      </c>
      <c r="B8">
        <v>2272.2</v>
      </c>
    </row>
    <row r="9" ht="15" customHeight="1" spans="1:11">
      <c r="A9" s="3" t="s">
        <v>114</v>
      </c>
      <c r="B9">
        <v>533874.13</v>
      </c>
    </row>
    <row r="15" ht="15" customHeight="1" spans="1:11">
      <c r="A15" s="1" t="s">
        <v>115</v>
      </c>
    </row>
    <row r="16" s="2" customFormat="1" ht="15" customHeight="1" spans="1:11">
      <c r="A16" s="6" t="s">
        <v>116</v>
      </c>
      <c r="B16" s="7">
        <v>42825</v>
      </c>
      <c r="C16" s="7">
        <v>43190</v>
      </c>
      <c r="D16" s="7">
        <v>43555</v>
      </c>
      <c r="E16" s="7">
        <v>43921</v>
      </c>
      <c r="F16" s="7">
        <v>44286</v>
      </c>
      <c r="G16" s="7">
        <v>44651</v>
      </c>
      <c r="H16" s="7">
        <v>45016</v>
      </c>
      <c r="I16" s="7">
        <v>45382</v>
      </c>
      <c r="J16" s="7">
        <v>45747</v>
      </c>
      <c r="K16" s="7">
        <v>46112</v>
      </c>
    </row>
    <row r="17" s="3" customFormat="1" ht="15" customHeight="1" spans="1:11">
      <c r="A17" s="3" t="s">
        <v>5</v>
      </c>
      <c r="B17">
        <v>33162</v>
      </c>
      <c r="C17">
        <v>35545</v>
      </c>
      <c r="D17">
        <v>39310</v>
      </c>
      <c r="E17">
        <v>39783</v>
      </c>
      <c r="F17">
        <v>47028</v>
      </c>
      <c r="G17">
        <v>52446</v>
      </c>
      <c r="H17">
        <v>60580</v>
      </c>
      <c r="I17">
        <v>61896</v>
      </c>
      <c r="J17">
        <v>63121</v>
      </c>
      <c r="K17">
        <v>64468</v>
      </c>
    </row>
    <row r="18" s="3" customFormat="1" ht="15" customHeight="1" spans="1:11">
      <c r="A18" s="3" t="s">
        <v>117</v>
      </c>
      <c r="B18">
        <v>13606</v>
      </c>
      <c r="C18">
        <v>14233</v>
      </c>
      <c r="D18">
        <v>15845</v>
      </c>
      <c r="E18">
        <v>15697</v>
      </c>
      <c r="F18">
        <v>20141</v>
      </c>
      <c r="G18">
        <v>22871</v>
      </c>
      <c r="H18">
        <v>28427</v>
      </c>
      <c r="I18">
        <v>26822</v>
      </c>
      <c r="J18">
        <v>27344</v>
      </c>
      <c r="K18">
        <v>32094</v>
      </c>
    </row>
    <row r="19" s="3" customFormat="1" ht="15" customHeight="1" spans="1:11">
      <c r="A19" s="3" t="s">
        <v>118</v>
      </c>
      <c r="B19">
        <v>-144</v>
      </c>
      <c r="C19">
        <v>72</v>
      </c>
      <c r="D19">
        <v>-12</v>
      </c>
      <c r="E19">
        <v>108</v>
      </c>
      <c r="F19">
        <v>405</v>
      </c>
      <c r="G19">
        <v>22</v>
      </c>
      <c r="H19">
        <v>75</v>
      </c>
      <c r="I19">
        <v>11</v>
      </c>
      <c r="J19">
        <v>153</v>
      </c>
      <c r="K19">
        <v>429</v>
      </c>
    </row>
    <row r="20" s="3" customFormat="1" ht="15" customHeight="1" spans="1:11">
      <c r="A20" s="3" t="s">
        <v>119</v>
      </c>
      <c r="B20">
        <v>295</v>
      </c>
      <c r="C20">
        <v>295</v>
      </c>
      <c r="D20">
        <v>308</v>
      </c>
      <c r="E20">
        <v>299</v>
      </c>
      <c r="F20">
        <v>339</v>
      </c>
      <c r="G20">
        <v>318</v>
      </c>
      <c r="H20">
        <v>384</v>
      </c>
      <c r="I20">
        <v>446</v>
      </c>
      <c r="J20">
        <v>427</v>
      </c>
    </row>
    <row r="21" s="3" customFormat="1" ht="15" customHeight="1" spans="1:11">
      <c r="A21" s="3" t="s">
        <v>120</v>
      </c>
      <c r="B21">
        <v>2887</v>
      </c>
      <c r="C21">
        <v>2998</v>
      </c>
      <c r="D21">
        <v>3041</v>
      </c>
      <c r="E21">
        <v>2906</v>
      </c>
      <c r="F21">
        <v>2868</v>
      </c>
      <c r="G21">
        <v>3354</v>
      </c>
      <c r="H21">
        <v>3791</v>
      </c>
      <c r="I21">
        <v>3385</v>
      </c>
      <c r="J21">
        <v>3834</v>
      </c>
    </row>
    <row r="22" s="3" customFormat="1" ht="15" customHeight="1" spans="1:11">
      <c r="A22" s="3" t="s">
        <v>121</v>
      </c>
      <c r="B22">
        <v>1743</v>
      </c>
      <c r="C22">
        <v>1860</v>
      </c>
      <c r="D22">
        <v>1875</v>
      </c>
      <c r="E22">
        <v>1820</v>
      </c>
      <c r="F22">
        <v>2358</v>
      </c>
      <c r="G22">
        <v>2545</v>
      </c>
      <c r="H22">
        <v>2854</v>
      </c>
      <c r="I22">
        <v>3009</v>
      </c>
      <c r="J22">
        <v>3077</v>
      </c>
      <c r="K22">
        <v>3175</v>
      </c>
    </row>
    <row r="23" s="3" customFormat="1" ht="15" customHeight="1" spans="1:11">
      <c r="A23" s="3" t="s">
        <v>122</v>
      </c>
      <c r="B23">
        <v>6689</v>
      </c>
      <c r="C23">
        <v>7252</v>
      </c>
      <c r="D23">
        <v>7796</v>
      </c>
      <c r="E23">
        <v>7620</v>
      </c>
      <c r="F23">
        <v>7906</v>
      </c>
      <c r="G23">
        <v>8164</v>
      </c>
      <c r="H23">
        <v>8785</v>
      </c>
      <c r="I23">
        <v>10780</v>
      </c>
      <c r="J23">
        <v>10693</v>
      </c>
      <c r="K23">
        <v>6261</v>
      </c>
    </row>
    <row r="24" s="3" customFormat="1" ht="15" customHeight="1" spans="1:11">
      <c r="A24" s="3" t="s">
        <v>123</v>
      </c>
      <c r="B24">
        <v>1470</v>
      </c>
      <c r="C24">
        <v>1480</v>
      </c>
      <c r="D24">
        <v>1553</v>
      </c>
      <c r="E24">
        <v>1688</v>
      </c>
      <c r="F24">
        <v>2195</v>
      </c>
      <c r="G24">
        <v>2359</v>
      </c>
      <c r="H24">
        <v>2267</v>
      </c>
      <c r="I24">
        <v>2806</v>
      </c>
      <c r="J24">
        <v>3056</v>
      </c>
      <c r="K24">
        <v>8328</v>
      </c>
    </row>
    <row r="25" s="3" customFormat="1" ht="15" customHeight="1" spans="1:11">
      <c r="A25" s="3" t="s">
        <v>8</v>
      </c>
      <c r="B25">
        <v>606</v>
      </c>
      <c r="C25">
        <v>353</v>
      </c>
      <c r="D25">
        <v>322</v>
      </c>
      <c r="E25">
        <v>424</v>
      </c>
      <c r="F25">
        <v>170</v>
      </c>
      <c r="G25">
        <v>219</v>
      </c>
      <c r="H25">
        <v>448</v>
      </c>
      <c r="I25">
        <v>817</v>
      </c>
      <c r="J25">
        <v>1322</v>
      </c>
      <c r="K25">
        <v>4923</v>
      </c>
    </row>
    <row r="26" s="3" customFormat="1" ht="15" customHeight="1" spans="1:11">
      <c r="A26" s="3" t="s">
        <v>9</v>
      </c>
      <c r="B26">
        <v>432</v>
      </c>
      <c r="C26">
        <v>520</v>
      </c>
      <c r="D26">
        <v>565</v>
      </c>
      <c r="E26">
        <v>1002</v>
      </c>
      <c r="F26">
        <v>1074</v>
      </c>
      <c r="G26">
        <v>1091</v>
      </c>
      <c r="H26">
        <v>1137</v>
      </c>
      <c r="I26">
        <v>1216</v>
      </c>
      <c r="J26">
        <v>1355</v>
      </c>
      <c r="K26">
        <v>1333</v>
      </c>
    </row>
    <row r="27" s="3" customFormat="1" ht="15" customHeight="1" spans="1:11">
      <c r="A27" s="3" t="s">
        <v>10</v>
      </c>
      <c r="B27">
        <v>35</v>
      </c>
      <c r="C27">
        <v>26</v>
      </c>
      <c r="D27">
        <v>33</v>
      </c>
      <c r="E27">
        <v>118</v>
      </c>
      <c r="F27">
        <v>117</v>
      </c>
      <c r="G27">
        <v>106</v>
      </c>
      <c r="H27">
        <v>114</v>
      </c>
      <c r="I27">
        <v>334</v>
      </c>
      <c r="J27">
        <v>395</v>
      </c>
      <c r="K27">
        <v>410</v>
      </c>
    </row>
    <row r="28" s="3" customFormat="1" ht="15" customHeight="1" spans="1:11">
      <c r="A28" s="3" t="s">
        <v>11</v>
      </c>
      <c r="B28">
        <v>6467</v>
      </c>
      <c r="C28">
        <v>7306</v>
      </c>
      <c r="D28">
        <v>8604</v>
      </c>
      <c r="E28">
        <v>9165</v>
      </c>
      <c r="F28">
        <v>10605</v>
      </c>
      <c r="G28">
        <v>11879</v>
      </c>
      <c r="H28">
        <v>13344</v>
      </c>
      <c r="I28">
        <v>13926</v>
      </c>
      <c r="J28">
        <v>14415</v>
      </c>
      <c r="K28">
        <v>18219</v>
      </c>
    </row>
    <row r="29" s="3" customFormat="1" ht="15" customHeight="1" spans="1:11">
      <c r="A29" s="3" t="s">
        <v>12</v>
      </c>
      <c r="B29">
        <v>1977</v>
      </c>
      <c r="C29">
        <v>2079</v>
      </c>
      <c r="D29">
        <v>2544</v>
      </c>
      <c r="E29">
        <v>2409</v>
      </c>
      <c r="F29">
        <v>2606</v>
      </c>
      <c r="G29">
        <v>2987</v>
      </c>
      <c r="H29">
        <v>3201</v>
      </c>
      <c r="I29">
        <v>3644</v>
      </c>
      <c r="J29">
        <v>3744</v>
      </c>
      <c r="K29">
        <v>3160</v>
      </c>
    </row>
    <row r="30" s="3" customFormat="1" ht="15" customHeight="1" spans="1:11">
      <c r="A30" s="3" t="s">
        <v>13</v>
      </c>
      <c r="B30">
        <v>4476</v>
      </c>
      <c r="C30">
        <v>5214</v>
      </c>
      <c r="D30">
        <v>6054</v>
      </c>
      <c r="E30">
        <v>6748</v>
      </c>
      <c r="F30">
        <v>7995</v>
      </c>
      <c r="G30">
        <v>8879</v>
      </c>
      <c r="H30">
        <v>10120</v>
      </c>
      <c r="I30">
        <v>10277</v>
      </c>
      <c r="J30">
        <v>10649</v>
      </c>
      <c r="K30">
        <v>15040</v>
      </c>
    </row>
    <row r="31" s="3" customFormat="1" ht="15" customHeight="1" spans="1:11">
      <c r="A31" s="3" t="s">
        <v>124</v>
      </c>
      <c r="B31">
        <v>3672</v>
      </c>
      <c r="C31">
        <v>4320</v>
      </c>
      <c r="D31">
        <v>4752</v>
      </c>
      <c r="E31">
        <v>5400</v>
      </c>
      <c r="F31">
        <v>9517.5</v>
      </c>
      <c r="G31">
        <v>7990</v>
      </c>
      <c r="H31">
        <v>9165</v>
      </c>
      <c r="I31">
        <v>9870</v>
      </c>
      <c r="J31">
        <v>12455</v>
      </c>
      <c r="K31">
        <v>9635</v>
      </c>
    </row>
    <row r="32" s="3" customFormat="1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 spans="1:11">
      <c r="A40" s="1" t="s">
        <v>125</v>
      </c>
    </row>
    <row r="41" s="2" customFormat="1" ht="15" customHeight="1" spans="1:11">
      <c r="A41" s="6" t="s">
        <v>116</v>
      </c>
      <c r="B41" s="7">
        <v>45291</v>
      </c>
      <c r="C41" s="7">
        <v>45382</v>
      </c>
      <c r="D41" s="7">
        <v>45473</v>
      </c>
      <c r="E41" s="7">
        <v>45565</v>
      </c>
      <c r="F41" s="7">
        <v>45657</v>
      </c>
      <c r="G41" s="7">
        <v>45747</v>
      </c>
      <c r="H41" s="7">
        <v>45838</v>
      </c>
      <c r="I41" s="7">
        <v>45930</v>
      </c>
      <c r="J41" s="7">
        <v>46022</v>
      </c>
      <c r="K41" s="7">
        <v>46112</v>
      </c>
    </row>
    <row r="42" s="3" customFormat="1" ht="15" customHeight="1" spans="1:11">
      <c r="A42" s="3" t="s">
        <v>5</v>
      </c>
      <c r="B42">
        <v>15567</v>
      </c>
      <c r="C42">
        <v>15210</v>
      </c>
      <c r="D42">
        <v>15707</v>
      </c>
      <c r="E42">
        <v>15926</v>
      </c>
      <c r="F42">
        <v>15556</v>
      </c>
      <c r="G42">
        <v>15190</v>
      </c>
      <c r="H42">
        <v>16514</v>
      </c>
      <c r="I42">
        <v>15919</v>
      </c>
      <c r="J42">
        <v>16441</v>
      </c>
      <c r="K42">
        <v>16351</v>
      </c>
    </row>
    <row r="43" s="3" customFormat="1" ht="15" customHeight="1" spans="1:11">
      <c r="A43" s="3" t="s">
        <v>6</v>
      </c>
      <c r="B43">
        <v>11902</v>
      </c>
      <c r="C43">
        <v>11675</v>
      </c>
      <c r="D43">
        <v>11965</v>
      </c>
      <c r="E43">
        <v>12139</v>
      </c>
      <c r="F43">
        <v>11867</v>
      </c>
      <c r="G43">
        <v>11572</v>
      </c>
      <c r="H43">
        <v>12797</v>
      </c>
      <c r="I43">
        <v>12137</v>
      </c>
      <c r="J43">
        <v>12660</v>
      </c>
      <c r="K43">
        <v>12514</v>
      </c>
    </row>
    <row r="44" s="3" customFormat="1" ht="15" customHeight="1" spans="1:11">
      <c r="A44" s="3" t="s">
        <v>8</v>
      </c>
      <c r="B44">
        <v>184</v>
      </c>
      <c r="C44">
        <v>309</v>
      </c>
      <c r="D44">
        <v>209</v>
      </c>
      <c r="E44">
        <v>203</v>
      </c>
      <c r="F44">
        <v>733</v>
      </c>
      <c r="G44">
        <v>149</v>
      </c>
      <c r="H44">
        <v>74</v>
      </c>
      <c r="I44">
        <v>269</v>
      </c>
      <c r="J44">
        <v>4048</v>
      </c>
      <c r="K44">
        <v>503</v>
      </c>
    </row>
    <row r="45" s="3" customFormat="1" ht="15" customHeight="1" spans="1:11">
      <c r="A45" s="3" t="s">
        <v>9</v>
      </c>
      <c r="B45">
        <v>313</v>
      </c>
      <c r="C45">
        <v>320</v>
      </c>
      <c r="D45">
        <v>329</v>
      </c>
      <c r="E45">
        <v>338</v>
      </c>
      <c r="F45">
        <v>318</v>
      </c>
      <c r="G45">
        <v>318</v>
      </c>
      <c r="H45">
        <v>361</v>
      </c>
      <c r="I45">
        <v>322</v>
      </c>
      <c r="J45">
        <v>337</v>
      </c>
      <c r="K45">
        <v>348</v>
      </c>
    </row>
    <row r="46" s="3" customFormat="1" ht="15" customHeight="1" spans="1:11">
      <c r="A46" s="3" t="s">
        <v>10</v>
      </c>
      <c r="B46">
        <v>91</v>
      </c>
      <c r="C46">
        <v>105</v>
      </c>
      <c r="D46">
        <v>93</v>
      </c>
      <c r="E46">
        <v>110</v>
      </c>
      <c r="F46">
        <v>109</v>
      </c>
      <c r="G46">
        <v>77</v>
      </c>
      <c r="H46">
        <v>127</v>
      </c>
      <c r="I46">
        <v>124</v>
      </c>
      <c r="J46">
        <v>88</v>
      </c>
      <c r="K46">
        <v>76</v>
      </c>
    </row>
    <row r="47" s="3" customFormat="1" ht="15" customHeight="1" spans="1:11">
      <c r="A47" s="3" t="s">
        <v>11</v>
      </c>
      <c r="B47">
        <v>3445</v>
      </c>
      <c r="C47">
        <v>3419</v>
      </c>
      <c r="D47">
        <v>3529</v>
      </c>
      <c r="E47">
        <v>3542</v>
      </c>
      <c r="F47">
        <v>3995</v>
      </c>
      <c r="G47">
        <v>3372</v>
      </c>
      <c r="H47">
        <v>3303</v>
      </c>
      <c r="I47">
        <v>3605</v>
      </c>
      <c r="J47">
        <v>7404</v>
      </c>
      <c r="K47">
        <v>3916</v>
      </c>
    </row>
    <row r="48" s="3" customFormat="1" ht="15" customHeight="1" spans="1:11">
      <c r="A48" s="3" t="s">
        <v>12</v>
      </c>
      <c r="B48">
        <v>937</v>
      </c>
      <c r="C48">
        <v>858</v>
      </c>
      <c r="D48">
        <v>917</v>
      </c>
      <c r="E48">
        <v>947</v>
      </c>
      <c r="F48">
        <v>1006</v>
      </c>
      <c r="G48">
        <v>897</v>
      </c>
      <c r="H48">
        <v>535</v>
      </c>
      <c r="I48">
        <v>911</v>
      </c>
      <c r="J48">
        <v>801</v>
      </c>
      <c r="K48">
        <v>922</v>
      </c>
    </row>
    <row r="49" s="3" customFormat="1" ht="15" customHeight="1" spans="1:11">
      <c r="A49" s="3" t="s">
        <v>13</v>
      </c>
      <c r="B49">
        <v>2509</v>
      </c>
      <c r="C49">
        <v>2558</v>
      </c>
      <c r="D49">
        <v>2610</v>
      </c>
      <c r="E49">
        <v>2591</v>
      </c>
      <c r="F49">
        <v>2984</v>
      </c>
      <c r="G49">
        <v>2464</v>
      </c>
      <c r="H49">
        <v>2756</v>
      </c>
      <c r="I49">
        <v>2685</v>
      </c>
      <c r="J49">
        <v>6607</v>
      </c>
      <c r="K49">
        <v>2992</v>
      </c>
    </row>
    <row r="50" ht="15" customHeight="1" spans="1:11">
      <c r="A50" s="3" t="s">
        <v>7</v>
      </c>
      <c r="B50">
        <v>3665</v>
      </c>
      <c r="C50">
        <v>3535</v>
      </c>
      <c r="D50">
        <v>3742</v>
      </c>
      <c r="E50">
        <v>3787</v>
      </c>
      <c r="F50">
        <v>3689</v>
      </c>
      <c r="G50">
        <v>3618</v>
      </c>
      <c r="H50">
        <v>3717</v>
      </c>
      <c r="I50">
        <v>3782</v>
      </c>
      <c r="J50">
        <v>3781</v>
      </c>
      <c r="K50">
        <v>3837</v>
      </c>
    </row>
    <row r="51" ht="15" customHeight="1"/>
    <row r="52" ht="15" customHeight="1"/>
    <row r="53" ht="15" customHeight="1"/>
    <row r="54" ht="15" customHeight="1"/>
    <row r="55" ht="15" customHeight="1" spans="1:11">
      <c r="A55" s="1" t="s">
        <v>126</v>
      </c>
    </row>
    <row r="56" s="2" customFormat="1" ht="15" customHeight="1" spans="1:11">
      <c r="A56" s="6" t="s">
        <v>116</v>
      </c>
      <c r="B56" s="7">
        <v>42825</v>
      </c>
      <c r="C56" s="7">
        <v>43190</v>
      </c>
      <c r="D56" s="7">
        <v>43555</v>
      </c>
      <c r="E56" s="7">
        <v>43921</v>
      </c>
      <c r="F56" s="7">
        <v>44286</v>
      </c>
      <c r="G56" s="7">
        <v>44651</v>
      </c>
      <c r="H56" s="7">
        <v>45016</v>
      </c>
      <c r="I56" s="7">
        <v>45382</v>
      </c>
      <c r="J56" s="7">
        <v>45747</v>
      </c>
      <c r="K56" s="7">
        <v>46112</v>
      </c>
    </row>
    <row r="57" ht="15" customHeight="1" spans="1:11">
      <c r="A57" s="3" t="s">
        <v>73</v>
      </c>
      <c r="B57">
        <v>216</v>
      </c>
      <c r="C57">
        <v>216</v>
      </c>
      <c r="D57">
        <v>216</v>
      </c>
      <c r="E57">
        <v>216</v>
      </c>
      <c r="F57">
        <v>235</v>
      </c>
      <c r="G57">
        <v>235</v>
      </c>
      <c r="H57">
        <v>235</v>
      </c>
      <c r="I57">
        <v>235</v>
      </c>
      <c r="J57">
        <v>235</v>
      </c>
      <c r="K57">
        <v>235</v>
      </c>
    </row>
    <row r="58" ht="15" customHeight="1" spans="1:11">
      <c r="A58" s="3" t="s">
        <v>74</v>
      </c>
      <c r="B58">
        <v>6528</v>
      </c>
      <c r="C58">
        <v>7065</v>
      </c>
      <c r="D58">
        <v>7651</v>
      </c>
      <c r="E58">
        <v>8013</v>
      </c>
      <c r="F58">
        <v>47439</v>
      </c>
      <c r="G58">
        <v>48826</v>
      </c>
      <c r="H58">
        <v>50069</v>
      </c>
      <c r="I58">
        <v>50983</v>
      </c>
      <c r="J58">
        <v>49167</v>
      </c>
      <c r="K58">
        <v>48504</v>
      </c>
    </row>
    <row r="59" ht="15" customHeight="1" spans="1:11">
      <c r="A59" s="3" t="s">
        <v>75</v>
      </c>
      <c r="B59">
        <v>277</v>
      </c>
      <c r="D59">
        <v>99</v>
      </c>
      <c r="G59">
        <v>1043</v>
      </c>
      <c r="H59">
        <v>1219</v>
      </c>
      <c r="I59">
        <v>1484</v>
      </c>
      <c r="J59">
        <v>1648</v>
      </c>
      <c r="K59">
        <v>1478</v>
      </c>
    </row>
    <row r="60" ht="15" customHeight="1" spans="1:11">
      <c r="A60" s="3" t="s">
        <v>76</v>
      </c>
      <c r="B60">
        <v>8685</v>
      </c>
      <c r="C60">
        <v>10581</v>
      </c>
      <c r="D60">
        <v>10663</v>
      </c>
      <c r="E60">
        <v>11924</v>
      </c>
      <c r="F60">
        <v>21066</v>
      </c>
      <c r="G60">
        <v>20402</v>
      </c>
      <c r="H60">
        <v>21554</v>
      </c>
      <c r="I60">
        <v>25787</v>
      </c>
      <c r="J60">
        <v>28813</v>
      </c>
      <c r="K60">
        <v>29535</v>
      </c>
    </row>
    <row r="61" s="1" customFormat="1" ht="15" customHeight="1" spans="1:11">
      <c r="A61" s="1" t="s">
        <v>77</v>
      </c>
      <c r="B61">
        <v>15706</v>
      </c>
      <c r="C61">
        <v>17862</v>
      </c>
      <c r="D61">
        <v>18629</v>
      </c>
      <c r="E61">
        <v>20153</v>
      </c>
      <c r="F61">
        <v>68740</v>
      </c>
      <c r="G61">
        <v>70506</v>
      </c>
      <c r="H61">
        <v>73077</v>
      </c>
      <c r="I61">
        <v>78489</v>
      </c>
      <c r="J61">
        <v>79863</v>
      </c>
      <c r="K61">
        <v>79752</v>
      </c>
    </row>
    <row r="62" ht="15" customHeight="1" spans="1:11">
      <c r="A62" s="3" t="s">
        <v>78</v>
      </c>
      <c r="B62">
        <v>4419</v>
      </c>
      <c r="C62">
        <v>4528</v>
      </c>
      <c r="D62">
        <v>4715</v>
      </c>
      <c r="E62">
        <v>5479</v>
      </c>
      <c r="F62">
        <v>51443</v>
      </c>
      <c r="G62">
        <v>51473</v>
      </c>
      <c r="H62">
        <v>52678</v>
      </c>
      <c r="I62">
        <v>53744</v>
      </c>
      <c r="J62">
        <v>54335</v>
      </c>
      <c r="K62">
        <v>57428</v>
      </c>
    </row>
    <row r="63" ht="15" customHeight="1" spans="1:11">
      <c r="A63" s="3" t="s">
        <v>79</v>
      </c>
      <c r="B63">
        <v>229</v>
      </c>
      <c r="C63">
        <v>461</v>
      </c>
      <c r="D63">
        <v>406</v>
      </c>
      <c r="E63">
        <v>597</v>
      </c>
      <c r="F63">
        <v>745</v>
      </c>
      <c r="G63">
        <v>1313</v>
      </c>
      <c r="H63">
        <v>1132</v>
      </c>
      <c r="I63">
        <v>1025</v>
      </c>
      <c r="J63">
        <v>1009</v>
      </c>
      <c r="K63">
        <v>880</v>
      </c>
    </row>
    <row r="64" ht="15" customHeight="1" spans="1:11">
      <c r="A64" s="3" t="s">
        <v>80</v>
      </c>
      <c r="B64">
        <v>3794</v>
      </c>
      <c r="C64">
        <v>2873</v>
      </c>
      <c r="D64">
        <v>2716</v>
      </c>
      <c r="E64">
        <v>1255</v>
      </c>
      <c r="F64">
        <v>2709</v>
      </c>
      <c r="G64">
        <v>3521</v>
      </c>
      <c r="H64">
        <v>2882</v>
      </c>
      <c r="I64">
        <v>4625</v>
      </c>
      <c r="J64">
        <v>3810</v>
      </c>
      <c r="K64">
        <v>4359</v>
      </c>
    </row>
    <row r="65" ht="15" customHeight="1" spans="1:11">
      <c r="A65" s="3" t="s">
        <v>81</v>
      </c>
      <c r="B65">
        <v>7264</v>
      </c>
      <c r="C65">
        <v>10000</v>
      </c>
      <c r="D65">
        <v>10792</v>
      </c>
      <c r="E65">
        <v>12822</v>
      </c>
      <c r="F65">
        <v>13843</v>
      </c>
      <c r="G65">
        <v>14199</v>
      </c>
      <c r="H65">
        <v>16385</v>
      </c>
      <c r="I65">
        <v>19095</v>
      </c>
      <c r="J65">
        <v>20709</v>
      </c>
      <c r="K65">
        <v>17085</v>
      </c>
    </row>
    <row r="66" s="1" customFormat="1" ht="15" customHeight="1" spans="1:11">
      <c r="A66" s="1" t="s">
        <v>77</v>
      </c>
      <c r="B66">
        <v>15706</v>
      </c>
      <c r="C66">
        <v>17862</v>
      </c>
      <c r="D66">
        <v>18629</v>
      </c>
      <c r="E66">
        <v>20153</v>
      </c>
      <c r="F66">
        <v>68740</v>
      </c>
      <c r="G66">
        <v>70506</v>
      </c>
      <c r="H66">
        <v>73077</v>
      </c>
      <c r="I66">
        <v>78489</v>
      </c>
      <c r="J66">
        <v>79863</v>
      </c>
      <c r="K66">
        <v>79752</v>
      </c>
    </row>
    <row r="67" s="3" customFormat="1" spans="1:11">
      <c r="A67" s="3" t="s">
        <v>127</v>
      </c>
      <c r="B67">
        <v>1085</v>
      </c>
      <c r="C67">
        <v>1310</v>
      </c>
      <c r="D67">
        <v>1816</v>
      </c>
      <c r="E67">
        <v>1149</v>
      </c>
      <c r="F67">
        <v>1758</v>
      </c>
      <c r="G67">
        <v>2236</v>
      </c>
      <c r="H67">
        <v>3079</v>
      </c>
      <c r="I67">
        <v>2997</v>
      </c>
      <c r="J67">
        <v>3819</v>
      </c>
      <c r="K67">
        <v>3379</v>
      </c>
    </row>
    <row r="68" spans="1:11">
      <c r="A68" s="3" t="s">
        <v>84</v>
      </c>
      <c r="B68">
        <v>2541</v>
      </c>
      <c r="C68">
        <v>2513</v>
      </c>
      <c r="D68">
        <v>2574</v>
      </c>
      <c r="E68">
        <v>2767</v>
      </c>
      <c r="F68">
        <v>3579</v>
      </c>
      <c r="G68">
        <v>4096</v>
      </c>
      <c r="H68">
        <v>4251</v>
      </c>
      <c r="I68">
        <v>4022</v>
      </c>
      <c r="J68">
        <v>4415</v>
      </c>
      <c r="K68">
        <v>4789</v>
      </c>
    </row>
    <row r="69" spans="1:11">
      <c r="A69" s="3" t="s">
        <v>128</v>
      </c>
      <c r="B69">
        <v>1828</v>
      </c>
      <c r="C69">
        <v>3485</v>
      </c>
      <c r="D69">
        <v>3757</v>
      </c>
      <c r="E69">
        <v>5113</v>
      </c>
      <c r="F69">
        <v>4471</v>
      </c>
      <c r="G69">
        <v>3846</v>
      </c>
      <c r="H69">
        <v>4678</v>
      </c>
      <c r="I69">
        <v>7559</v>
      </c>
      <c r="J69">
        <v>7554</v>
      </c>
      <c r="K69">
        <v>3248</v>
      </c>
    </row>
    <row r="70" spans="1:11">
      <c r="A70" s="3" t="s">
        <v>129</v>
      </c>
      <c r="B70">
        <v>2164349639</v>
      </c>
      <c r="C70">
        <v>2164528777</v>
      </c>
      <c r="D70">
        <v>2164704405</v>
      </c>
      <c r="E70">
        <v>2164704405</v>
      </c>
      <c r="F70">
        <v>2349567819</v>
      </c>
      <c r="G70">
        <v>2349591262</v>
      </c>
      <c r="H70">
        <v>2349591262</v>
      </c>
      <c r="I70">
        <v>2349591262</v>
      </c>
      <c r="J70">
        <v>2349591262</v>
      </c>
    </row>
    <row r="71" spans="1:11">
      <c r="A71" s="3" t="s">
        <v>130</v>
      </c>
    </row>
    <row r="72" spans="1:11">
      <c r="A72" s="3" t="s">
        <v>131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80" spans="1:11">
      <c r="A80" s="1" t="s">
        <v>132</v>
      </c>
    </row>
    <row r="81" s="2" customFormat="1" spans="1:11">
      <c r="A81" s="6" t="s">
        <v>116</v>
      </c>
      <c r="B81" s="7">
        <v>42825</v>
      </c>
      <c r="C81" s="7">
        <v>43190</v>
      </c>
      <c r="D81" s="7">
        <v>43555</v>
      </c>
      <c r="E81" s="7">
        <v>43921</v>
      </c>
      <c r="F81" s="7">
        <v>44286</v>
      </c>
      <c r="G81" s="7">
        <v>44651</v>
      </c>
      <c r="H81" s="7">
        <v>45016</v>
      </c>
      <c r="I81" s="7">
        <v>45382</v>
      </c>
      <c r="J81" s="7">
        <v>45747</v>
      </c>
      <c r="K81" s="7">
        <v>46112</v>
      </c>
    </row>
    <row r="82" s="1" customFormat="1" spans="1:11">
      <c r="A82" s="3" t="s">
        <v>89</v>
      </c>
      <c r="B82">
        <v>5185</v>
      </c>
      <c r="C82">
        <v>6059</v>
      </c>
      <c r="D82">
        <v>5800</v>
      </c>
      <c r="E82">
        <v>7623</v>
      </c>
      <c r="F82">
        <v>9163</v>
      </c>
      <c r="G82">
        <v>9048</v>
      </c>
      <c r="H82">
        <v>9991</v>
      </c>
      <c r="I82">
        <v>15469</v>
      </c>
      <c r="J82">
        <v>11886</v>
      </c>
      <c r="K82">
        <v>10999</v>
      </c>
    </row>
    <row r="83" s="3" customFormat="1" spans="1:11">
      <c r="A83" s="3" t="s">
        <v>90</v>
      </c>
      <c r="B83">
        <v>-1173</v>
      </c>
      <c r="C83">
        <v>-1063</v>
      </c>
      <c r="D83">
        <v>-438</v>
      </c>
      <c r="E83">
        <v>1791</v>
      </c>
      <c r="F83">
        <v>-1228</v>
      </c>
      <c r="G83">
        <v>-1728</v>
      </c>
      <c r="H83">
        <v>-1484</v>
      </c>
      <c r="I83">
        <v>-5324</v>
      </c>
      <c r="J83">
        <v>6473</v>
      </c>
      <c r="K83">
        <v>-3684</v>
      </c>
    </row>
    <row r="84" s="3" customFormat="1" spans="1:11">
      <c r="A84" s="3" t="s">
        <v>91</v>
      </c>
      <c r="B84">
        <v>-4214</v>
      </c>
      <c r="C84">
        <v>-4975</v>
      </c>
      <c r="D84">
        <v>-5390</v>
      </c>
      <c r="E84">
        <v>-6819</v>
      </c>
      <c r="F84">
        <v>-9309</v>
      </c>
      <c r="G84">
        <v>-8015</v>
      </c>
      <c r="H84">
        <v>-8953</v>
      </c>
      <c r="I84">
        <v>-10034</v>
      </c>
      <c r="J84">
        <v>-13101</v>
      </c>
      <c r="K84">
        <v>-10810</v>
      </c>
    </row>
    <row r="85" s="1" customFormat="1" spans="1:11">
      <c r="A85" s="3" t="s">
        <v>92</v>
      </c>
      <c r="B85">
        <v>-202</v>
      </c>
      <c r="C85">
        <v>21</v>
      </c>
      <c r="D85">
        <v>-28</v>
      </c>
      <c r="E85">
        <v>2595</v>
      </c>
      <c r="F85">
        <v>-1374</v>
      </c>
      <c r="G85">
        <v>-695</v>
      </c>
      <c r="H85">
        <v>-446</v>
      </c>
      <c r="I85">
        <v>111</v>
      </c>
      <c r="J85">
        <v>5258</v>
      </c>
      <c r="K85">
        <v>-3495</v>
      </c>
    </row>
    <row r="90" s="1" customFormat="1" spans="1:11">
      <c r="A90" s="1" t="s">
        <v>133</v>
      </c>
      <c r="B90">
        <v>872.61</v>
      </c>
      <c r="C90">
        <v>1276.11</v>
      </c>
      <c r="D90">
        <v>1633.53</v>
      </c>
      <c r="E90">
        <v>2199.83</v>
      </c>
      <c r="F90">
        <v>2327.12</v>
      </c>
      <c r="G90">
        <v>1960.7</v>
      </c>
      <c r="H90">
        <v>2450.44</v>
      </c>
      <c r="I90">
        <v>2167.14</v>
      </c>
      <c r="J90">
        <v>2161.88</v>
      </c>
      <c r="K90">
        <v>2055.2</v>
      </c>
    </row>
    <row r="92" s="1" customFormat="1" spans="1:11">
      <c r="A92" s="1" t="s">
        <v>134</v>
      </c>
    </row>
    <row r="93" spans="1:11">
      <c r="A93" s="3" t="s">
        <v>135</v>
      </c>
      <c r="B93" s="3">
        <v>216.43</v>
      </c>
      <c r="C93" s="3">
        <v>216.45</v>
      </c>
      <c r="D93" s="3">
        <v>216.47</v>
      </c>
      <c r="E93" s="3">
        <v>216.48</v>
      </c>
      <c r="F93" s="3">
        <v>234.96</v>
      </c>
      <c r="G93" s="3">
        <v>234.96</v>
      </c>
      <c r="H93" s="3">
        <v>234.96</v>
      </c>
      <c r="I93" s="3">
        <v>234.96</v>
      </c>
      <c r="J93" s="3">
        <v>234.96</v>
      </c>
      <c r="K93" s="3">
        <v>234.96</v>
      </c>
    </row>
  </sheetData>
  <mergeCells count="2">
    <mergeCell ref="E1:K1"/>
    <mergeCell ref="E2:K2"/>
  </mergeCells>
  <conditionalFormatting sqref="E1:K1">
    <cfRule type="cellIs" dxfId="3" priority="1" operator="notEqual">
      <formula>""</formula>
    </cfRule>
  </conditionalFormatting>
  <hyperlinks>
    <hyperlink ref="E1" r:id="rId1" display="=IF(B2&lt;&gt;B3,&quot;A NEW VERSION OF THE WORKSHEET IS AVAILABLE&quot;,&quot;&quot;)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Profit &amp; Loss</vt:lpstr>
      <vt:lpstr>DCF</vt:lpstr>
      <vt:lpstr>Quarters</vt:lpstr>
      <vt:lpstr>Balance Sheet</vt:lpstr>
      <vt:lpstr>Cash Flow</vt:lpstr>
      <vt:lpstr>Customization</vt:lpstr>
      <vt:lpstr>Data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manoj daware</cp:lastModifiedBy>
  <dcterms:created xsi:type="dcterms:W3CDTF">2012-08-17T09:55:00Z</dcterms:created>
  <cp:lastPrinted>2012-12-06T18:14:00Z</cp:lastPrinted>
  <dcterms:modified xsi:type="dcterms:W3CDTF">2026-05-17T11:08:12Z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5C4093969FB34E078851E9207E057199_12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